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ämäTyökirja"/>
  <mc:AlternateContent xmlns:mc="http://schemas.openxmlformats.org/markup-compatibility/2006">
    <mc:Choice Requires="x15">
      <x15ac:absPath xmlns:x15ac="http://schemas.microsoft.com/office/spreadsheetml/2010/11/ac" url="D:\helmet_50\model-systems\helmet-model-system resultsien kehitys\helmet-model-system\Scripts\"/>
    </mc:Choice>
  </mc:AlternateContent>
  <xr:revisionPtr revIDLastSave="0" documentId="13_ncr:1_{9C8FD2D1-630B-44BE-95E0-2BDFD71AC304}" xr6:coauthVersionLast="47" xr6:coauthVersionMax="47" xr10:uidLastSave="{00000000-0000-0000-0000-000000000000}"/>
  <bookViews>
    <workbookView xWindow="25695" yWindow="0" windowWidth="26010" windowHeight="20985" activeTab="14" xr2:uid="{00000000-000D-0000-FFFF-FFFF00000000}"/>
  </bookViews>
  <sheets>
    <sheet name="Yhteenveto" sheetId="1" r:id="rId1"/>
    <sheet name="Diskonttaus" sheetId="2" r:id="rId2"/>
    <sheet name="Liukuvat yksikkoarvot" sheetId="17" r:id="rId3"/>
    <sheet name="Kayttajahyodyt" sheetId="3" r:id="rId4"/>
    <sheet name="ha_tyo" sheetId="8" state="hidden" r:id="rId5"/>
    <sheet name="ha_muu" sheetId="11" state="hidden" r:id="rId6"/>
    <sheet name="jl_tyo" sheetId="10" state="hidden" r:id="rId7"/>
    <sheet name="jl_muu" sheetId="12" state="hidden" r:id="rId8"/>
    <sheet name="pp_tyo" sheetId="13" state="hidden" r:id="rId9"/>
    <sheet name="pp_muu" sheetId="14" state="hidden" r:id="rId10"/>
    <sheet name="ka" sheetId="15" state="hidden" r:id="rId11"/>
    <sheet name="yhd" sheetId="16" state="hidden" r:id="rId12"/>
    <sheet name="pa" sheetId="9" state="hidden" r:id="rId13"/>
    <sheet name="Tuottajahyodyt" sheetId="4" r:id="rId14"/>
    <sheet name="Ulkoisvaikutukset" sheetId="5" r:id="rId15"/>
    <sheet name="Julkistaloudelliset" sheetId="6" r:id="rId16"/>
    <sheet name="Investointikustannus" sheetId="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5" l="1"/>
  <c r="AA9" i="7"/>
  <c r="B13" i="2"/>
  <c r="D17" i="5"/>
  <c r="D18" i="5"/>
  <c r="D31" i="5"/>
  <c r="D32" i="5"/>
  <c r="E66" i="3"/>
  <c r="E72" i="3"/>
  <c r="D72" i="3"/>
  <c r="D71" i="3"/>
  <c r="C70" i="3"/>
  <c r="E69" i="3"/>
  <c r="C65" i="3"/>
  <c r="E4" i="3" a="1"/>
  <c r="E4" i="3" s="1"/>
  <c r="D4" i="3" a="1"/>
  <c r="D4" i="3" s="1"/>
  <c r="C4" i="3" a="1"/>
  <c r="C4" i="3" s="1"/>
  <c r="A68" i="3"/>
  <c r="E73" i="3" s="1"/>
  <c r="A61" i="3"/>
  <c r="D66" i="3" s="1"/>
  <c r="A2" i="3"/>
  <c r="E5" i="3" s="1" a="1"/>
  <c r="E5" i="3" s="1"/>
  <c r="A7" i="3"/>
  <c r="F10" i="3" s="1" a="1"/>
  <c r="F10" i="3" s="1"/>
  <c r="B13" i="3"/>
  <c r="E2" i="5"/>
  <c r="C2" i="5"/>
  <c r="B13" i="5"/>
  <c r="Q4" i="5"/>
  <c r="Q6" i="5"/>
  <c r="Q5" i="5"/>
  <c r="H13" i="5"/>
  <c r="I6" i="5"/>
  <c r="H10" i="5"/>
  <c r="H9" i="5"/>
  <c r="B95" i="5"/>
  <c r="G130" i="5" s="1"/>
  <c r="B46" i="5"/>
  <c r="G82" i="5" s="1"/>
  <c r="H122" i="5" l="1"/>
  <c r="G122" i="5"/>
  <c r="H124" i="5"/>
  <c r="H132" i="5"/>
  <c r="D59" i="5" a="1"/>
  <c r="D59" i="5" s="1"/>
  <c r="G131" i="5"/>
  <c r="G140" i="5"/>
  <c r="C100" i="5" a="1"/>
  <c r="C100" i="5" s="1"/>
  <c r="G138" i="5"/>
  <c r="H138" i="5" s="1"/>
  <c r="D132" i="5" a="1"/>
  <c r="D132" i="5" s="1"/>
  <c r="M132" i="5" s="1"/>
  <c r="H131" i="5"/>
  <c r="D67" i="5" a="1"/>
  <c r="D67" i="5" s="1"/>
  <c r="D100" i="5" a="1"/>
  <c r="D100" i="5" s="1"/>
  <c r="G139" i="5"/>
  <c r="H139" i="5" s="1"/>
  <c r="D108" i="5" a="1"/>
  <c r="D108" i="5" s="1"/>
  <c r="D116" i="5" a="1"/>
  <c r="D116" i="5" s="1"/>
  <c r="M116" i="5" s="1"/>
  <c r="C116" i="5" a="1"/>
  <c r="C116" i="5" s="1"/>
  <c r="D124" i="5" a="1"/>
  <c r="D124" i="5" s="1"/>
  <c r="M124" i="5" s="1"/>
  <c r="C132" i="5" a="1"/>
  <c r="C132" i="5" s="1"/>
  <c r="H100" i="5"/>
  <c r="H108" i="5"/>
  <c r="G106" i="5"/>
  <c r="H115" i="5"/>
  <c r="H114" i="5"/>
  <c r="H99" i="5"/>
  <c r="G136" i="5"/>
  <c r="H136" i="5" s="1"/>
  <c r="G99" i="5"/>
  <c r="G108" i="5"/>
  <c r="H107" i="5"/>
  <c r="H106" i="5"/>
  <c r="G115" i="5"/>
  <c r="G124" i="5"/>
  <c r="C69" i="3"/>
  <c r="E71" i="3"/>
  <c r="E65" i="3"/>
  <c r="D69" i="3"/>
  <c r="C72" i="3"/>
  <c r="E64" i="3"/>
  <c r="C108" i="5" a="1"/>
  <c r="C108" i="5" s="1"/>
  <c r="L108" i="5" s="1"/>
  <c r="G100" i="5"/>
  <c r="L100" i="5" s="1"/>
  <c r="G107" i="5"/>
  <c r="G114" i="5"/>
  <c r="G132" i="5"/>
  <c r="G137" i="5"/>
  <c r="H137" i="5" s="1"/>
  <c r="E9" i="3" a="1"/>
  <c r="E9" i="3" s="1"/>
  <c r="C63" i="3"/>
  <c r="D70" i="3"/>
  <c r="C73" i="3"/>
  <c r="H98" i="5"/>
  <c r="H116" i="5"/>
  <c r="H123" i="5"/>
  <c r="H130" i="5"/>
  <c r="D63" i="3"/>
  <c r="E70" i="3"/>
  <c r="D73" i="3"/>
  <c r="C67" i="5" a="1"/>
  <c r="C67" i="5" s="1"/>
  <c r="C75" i="5" a="1"/>
  <c r="C75" i="5" s="1"/>
  <c r="C124" i="5" a="1"/>
  <c r="C124" i="5" s="1"/>
  <c r="L124" i="5" s="1"/>
  <c r="G98" i="5"/>
  <c r="G116" i="5"/>
  <c r="G123" i="5"/>
  <c r="D64" i="3"/>
  <c r="C71" i="3"/>
  <c r="E63" i="3"/>
  <c r="C64" i="3"/>
  <c r="G51" i="5"/>
  <c r="C51" i="5" a="1"/>
  <c r="C51" i="5" s="1"/>
  <c r="D83" i="5" a="1"/>
  <c r="D83" i="5" s="1"/>
  <c r="H49" i="5"/>
  <c r="H67" i="5"/>
  <c r="H74" i="5"/>
  <c r="H81" i="5"/>
  <c r="G91" i="5"/>
  <c r="H91" i="5" s="1"/>
  <c r="G58" i="5"/>
  <c r="D51" i="5" a="1"/>
  <c r="D51" i="5" s="1"/>
  <c r="C83" i="5" a="1"/>
  <c r="C83" i="5" s="1"/>
  <c r="G49" i="5"/>
  <c r="G67" i="5"/>
  <c r="G74" i="5"/>
  <c r="G81" i="5"/>
  <c r="G90" i="5"/>
  <c r="H90" i="5" s="1"/>
  <c r="H59" i="5"/>
  <c r="H66" i="5"/>
  <c r="H73" i="5"/>
  <c r="G89" i="5"/>
  <c r="H89" i="5" s="1"/>
  <c r="C59" i="5" a="1"/>
  <c r="C59" i="5" s="1"/>
  <c r="G59" i="5"/>
  <c r="G66" i="5"/>
  <c r="G73" i="5"/>
  <c r="G88" i="5"/>
  <c r="H88" i="5" s="1"/>
  <c r="H51" i="5"/>
  <c r="H58" i="5"/>
  <c r="H65" i="5"/>
  <c r="H83" i="5"/>
  <c r="G87" i="5"/>
  <c r="H87" i="5" s="1"/>
  <c r="H92" i="5" s="1"/>
  <c r="I9" i="5" s="1"/>
  <c r="D65" i="3"/>
  <c r="C62" i="3"/>
  <c r="C66" i="3"/>
  <c r="G65" i="5"/>
  <c r="G83" i="5"/>
  <c r="D75" i="5" a="1"/>
  <c r="D75" i="5" s="1"/>
  <c r="H50" i="5"/>
  <c r="H57" i="5"/>
  <c r="H75" i="5"/>
  <c r="H82" i="5"/>
  <c r="D62" i="3"/>
  <c r="G50" i="5"/>
  <c r="G57" i="5"/>
  <c r="G75" i="5"/>
  <c r="B3" i="3" a="1"/>
  <c r="B3" i="3" s="1"/>
  <c r="F5" i="3" a="1"/>
  <c r="F5" i="3" s="1"/>
  <c r="B8" i="3" a="1"/>
  <c r="B8" i="3" s="1"/>
  <c r="C8" i="3" a="1"/>
  <c r="C8" i="3" s="1"/>
  <c r="D9" i="3" a="1"/>
  <c r="D9" i="3" s="1"/>
  <c r="F9" i="3" a="1"/>
  <c r="F9" i="3" s="1"/>
  <c r="C3" i="3" a="1"/>
  <c r="C3" i="3" s="1"/>
  <c r="F4" i="3" a="1"/>
  <c r="F4" i="3" s="1"/>
  <c r="D8" i="3" a="1"/>
  <c r="D8" i="3" s="1"/>
  <c r="D3" i="3" a="1"/>
  <c r="D3" i="3" s="1"/>
  <c r="E8" i="3" a="1"/>
  <c r="E8" i="3" s="1"/>
  <c r="E3" i="3" a="1"/>
  <c r="E3" i="3" s="1"/>
  <c r="F8" i="3" a="1"/>
  <c r="F8" i="3" s="1"/>
  <c r="F3" i="3" a="1"/>
  <c r="F3" i="3" s="1"/>
  <c r="B9" i="3" a="1"/>
  <c r="B9" i="3" s="1"/>
  <c r="E10" i="3" a="1"/>
  <c r="E10" i="3" s="1"/>
  <c r="B4" i="3" a="1"/>
  <c r="B4" i="3" s="1"/>
  <c r="C9" i="3" a="1"/>
  <c r="C9" i="3" s="1"/>
  <c r="D82" i="5" a="1"/>
  <c r="D82" i="5" s="1"/>
  <c r="D131" i="5" a="1"/>
  <c r="D131" i="5" s="1"/>
  <c r="D81" i="5" a="1"/>
  <c r="D81" i="5" s="1"/>
  <c r="D130" i="5" a="1"/>
  <c r="D130" i="5" s="1"/>
  <c r="M130" i="5" s="1"/>
  <c r="C82" i="5" a="1"/>
  <c r="C82" i="5" s="1"/>
  <c r="L82" i="5" s="1"/>
  <c r="C131" i="5" a="1"/>
  <c r="C131" i="5" s="1"/>
  <c r="L131" i="5" s="1"/>
  <c r="C81" i="5" a="1"/>
  <c r="C81" i="5" s="1"/>
  <c r="C130" i="5" a="1"/>
  <c r="C130" i="5" s="1"/>
  <c r="L130" i="5" s="1"/>
  <c r="D74" i="5" a="1"/>
  <c r="D74" i="5" s="1"/>
  <c r="D123" i="5" a="1"/>
  <c r="D123" i="5" s="1"/>
  <c r="D73" i="5" a="1"/>
  <c r="D73" i="5" s="1"/>
  <c r="D122" i="5" a="1"/>
  <c r="D122" i="5" s="1"/>
  <c r="M122" i="5" s="1"/>
  <c r="C74" i="5" a="1"/>
  <c r="C74" i="5" s="1"/>
  <c r="C123" i="5" a="1"/>
  <c r="C123" i="5" s="1"/>
  <c r="C73" i="5" a="1"/>
  <c r="C73" i="5" s="1"/>
  <c r="C122" i="5" a="1"/>
  <c r="C122" i="5" s="1"/>
  <c r="L122" i="5" s="1"/>
  <c r="D66" i="5" a="1"/>
  <c r="D66" i="5" s="1"/>
  <c r="D115" i="5" a="1"/>
  <c r="D115" i="5" s="1"/>
  <c r="D65" i="5" a="1"/>
  <c r="D65" i="5" s="1"/>
  <c r="D114" i="5" a="1"/>
  <c r="D114" i="5" s="1"/>
  <c r="C66" i="5" a="1"/>
  <c r="C66" i="5" s="1"/>
  <c r="C115" i="5" a="1"/>
  <c r="C115" i="5" s="1"/>
  <c r="C65" i="5" a="1"/>
  <c r="C65" i="5" s="1"/>
  <c r="C114" i="5" a="1"/>
  <c r="C114" i="5" s="1"/>
  <c r="D58" i="5" a="1"/>
  <c r="D58" i="5" s="1"/>
  <c r="D107" i="5" a="1"/>
  <c r="D107" i="5" s="1"/>
  <c r="M107" i="5" s="1"/>
  <c r="D57" i="5" a="1"/>
  <c r="D57" i="5" s="1"/>
  <c r="M57" i="5" s="1"/>
  <c r="D106" i="5" a="1"/>
  <c r="D106" i="5" s="1"/>
  <c r="M106" i="5" s="1"/>
  <c r="C58" i="5" a="1"/>
  <c r="C58" i="5" s="1"/>
  <c r="C107" i="5" a="1"/>
  <c r="C107" i="5" s="1"/>
  <c r="C57" i="5" a="1"/>
  <c r="C57" i="5" s="1"/>
  <c r="C106" i="5" a="1"/>
  <c r="C106" i="5" s="1"/>
  <c r="D99" i="5" a="1"/>
  <c r="D99" i="5" s="1"/>
  <c r="D50" i="5" a="1"/>
  <c r="D50" i="5" s="1"/>
  <c r="C99" i="5" a="1"/>
  <c r="C99" i="5" s="1"/>
  <c r="C50" i="5" a="1"/>
  <c r="C50" i="5" s="1"/>
  <c r="D98" i="5" a="1"/>
  <c r="D98" i="5" s="1"/>
  <c r="D49" i="5" a="1"/>
  <c r="D49" i="5" s="1"/>
  <c r="C98" i="5" a="1"/>
  <c r="C98" i="5" s="1"/>
  <c r="C49" i="5" a="1"/>
  <c r="C49" i="5" s="1"/>
  <c r="L115" i="5" l="1"/>
  <c r="M131" i="5"/>
  <c r="H141" i="5"/>
  <c r="I10" i="5" s="1"/>
  <c r="M98" i="5"/>
  <c r="L99" i="5"/>
  <c r="M99" i="5"/>
  <c r="M67" i="5"/>
  <c r="M59" i="5"/>
  <c r="L132" i="5"/>
  <c r="L50" i="5"/>
  <c r="L116" i="5"/>
  <c r="M108" i="5"/>
  <c r="M109" i="5" s="1"/>
  <c r="F9" i="5" s="1"/>
  <c r="M115" i="5"/>
  <c r="L67" i="5"/>
  <c r="M114" i="5"/>
  <c r="M117" i="5" s="1"/>
  <c r="F4" i="5" s="1"/>
  <c r="M100" i="5"/>
  <c r="M101" i="5" s="1"/>
  <c r="F8" i="5" s="1"/>
  <c r="L123" i="5"/>
  <c r="L125" i="5" s="1"/>
  <c r="E10" i="5" s="1"/>
  <c r="L106" i="5"/>
  <c r="L81" i="5"/>
  <c r="L114" i="5"/>
  <c r="L117" i="5" s="1"/>
  <c r="E4" i="5" s="1"/>
  <c r="L98" i="5"/>
  <c r="L73" i="5"/>
  <c r="L57" i="5"/>
  <c r="M65" i="5"/>
  <c r="L107" i="5"/>
  <c r="L75" i="5"/>
  <c r="L51" i="5"/>
  <c r="L65" i="5"/>
  <c r="L133" i="5"/>
  <c r="E11" i="5" s="1"/>
  <c r="M123" i="5"/>
  <c r="M125" i="5" s="1"/>
  <c r="F10" i="5" s="1"/>
  <c r="L49" i="5"/>
  <c r="M74" i="5"/>
  <c r="M73" i="5"/>
  <c r="L58" i="5"/>
  <c r="L74" i="5"/>
  <c r="M66" i="5"/>
  <c r="M82" i="5"/>
  <c r="L59" i="5"/>
  <c r="M49" i="5"/>
  <c r="L83" i="5"/>
  <c r="M58" i="5"/>
  <c r="M75" i="5"/>
  <c r="M81" i="5"/>
  <c r="M50" i="5"/>
  <c r="L66" i="5"/>
  <c r="M83" i="5"/>
  <c r="M51" i="5"/>
  <c r="E62" i="3"/>
  <c r="M133" i="5"/>
  <c r="F11" i="5" s="1"/>
  <c r="E38" i="5"/>
  <c r="R6" i="5"/>
  <c r="R5" i="5"/>
  <c r="A13" i="8"/>
  <c r="A26" i="8"/>
  <c r="A13" i="11"/>
  <c r="A26" i="11"/>
  <c r="A13" i="10"/>
  <c r="A26" i="10"/>
  <c r="A13" i="12"/>
  <c r="A26" i="12"/>
  <c r="A13" i="13"/>
  <c r="A26" i="13"/>
  <c r="A13" i="14"/>
  <c r="A26" i="14"/>
  <c r="A26" i="15"/>
  <c r="A13" i="15"/>
  <c r="A13" i="16"/>
  <c r="A26" i="16"/>
  <c r="A13" i="9"/>
  <c r="A26" i="9"/>
  <c r="A21" i="9"/>
  <c r="A8" i="9"/>
  <c r="A21" i="16"/>
  <c r="A8" i="16"/>
  <c r="A21" i="15"/>
  <c r="A8" i="15"/>
  <c r="A21" i="14"/>
  <c r="A8" i="14"/>
  <c r="A21" i="13"/>
  <c r="A8" i="13"/>
  <c r="A21" i="12"/>
  <c r="A8" i="12"/>
  <c r="A21" i="10"/>
  <c r="A8" i="10"/>
  <c r="A21" i="11"/>
  <c r="A8" i="11"/>
  <c r="A21" i="8"/>
  <c r="A8" i="8"/>
  <c r="C20" i="17"/>
  <c r="D20" i="17" s="1"/>
  <c r="E20" i="17" s="1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P20" i="17" s="1"/>
  <c r="Q20" i="17" s="1"/>
  <c r="R20" i="17" s="1"/>
  <c r="S20" i="17" s="1"/>
  <c r="T20" i="17" s="1"/>
  <c r="U20" i="17" s="1"/>
  <c r="V20" i="17" s="1"/>
  <c r="W20" i="17" s="1"/>
  <c r="X20" i="17" s="1"/>
  <c r="Y20" i="17" s="1"/>
  <c r="Z20" i="17" s="1"/>
  <c r="AA20" i="17" s="1"/>
  <c r="AB20" i="17" s="1"/>
  <c r="AC20" i="17" s="1"/>
  <c r="AD20" i="17" s="1"/>
  <c r="AE20" i="17" s="1"/>
  <c r="AF20" i="17" s="1"/>
  <c r="AG20" i="17" s="1"/>
  <c r="AH20" i="17" s="1"/>
  <c r="AI20" i="17" s="1"/>
  <c r="AJ20" i="17" s="1"/>
  <c r="AK20" i="17" s="1"/>
  <c r="AL20" i="17" s="1"/>
  <c r="AM20" i="17" s="1"/>
  <c r="AN20" i="17" s="1"/>
  <c r="C14" i="17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G14" i="17" s="1"/>
  <c r="AH14" i="17" s="1"/>
  <c r="AI14" i="17" s="1"/>
  <c r="AJ14" i="17" s="1"/>
  <c r="AK14" i="17" s="1"/>
  <c r="AL14" i="17" s="1"/>
  <c r="AM14" i="17" s="1"/>
  <c r="AN14" i="17" s="1"/>
  <c r="C9" i="17"/>
  <c r="D9" i="17" s="1"/>
  <c r="E9" i="17" s="1"/>
  <c r="F9" i="17" s="1"/>
  <c r="G9" i="17" s="1"/>
  <c r="H9" i="17" s="1"/>
  <c r="I9" i="17" s="1"/>
  <c r="J9" i="17" s="1"/>
  <c r="K9" i="17" s="1"/>
  <c r="L9" i="17" s="1"/>
  <c r="M9" i="17" s="1"/>
  <c r="N9" i="17" s="1"/>
  <c r="O9" i="17" s="1"/>
  <c r="P9" i="17" s="1"/>
  <c r="Q9" i="17" s="1"/>
  <c r="R9" i="17" s="1"/>
  <c r="S9" i="17" s="1"/>
  <c r="T9" i="17" s="1"/>
  <c r="U9" i="17" s="1"/>
  <c r="V9" i="17" s="1"/>
  <c r="W9" i="17" s="1"/>
  <c r="X9" i="17" s="1"/>
  <c r="Y9" i="17" s="1"/>
  <c r="Z9" i="17" s="1"/>
  <c r="AA9" i="17" s="1"/>
  <c r="AB9" i="17" s="1"/>
  <c r="AC9" i="17" s="1"/>
  <c r="AD9" i="17" s="1"/>
  <c r="AE9" i="17" s="1"/>
  <c r="AF9" i="17" s="1"/>
  <c r="AG9" i="17" s="1"/>
  <c r="AH9" i="17" s="1"/>
  <c r="AI9" i="17" s="1"/>
  <c r="AJ9" i="17" s="1"/>
  <c r="AK9" i="17" s="1"/>
  <c r="AL9" i="17" s="1"/>
  <c r="AM9" i="17" s="1"/>
  <c r="AN9" i="17" s="1"/>
  <c r="C2" i="17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AG2" i="17" s="1"/>
  <c r="AH2" i="17" s="1"/>
  <c r="AI2" i="17" s="1"/>
  <c r="AJ2" i="17" s="1"/>
  <c r="AK2" i="17" s="1"/>
  <c r="AL2" i="17" s="1"/>
  <c r="AM2" i="17" s="1"/>
  <c r="AN2" i="17" s="1"/>
  <c r="J6" i="5"/>
  <c r="L101" i="5" l="1"/>
  <c r="E8" i="5" s="1"/>
  <c r="L109" i="5"/>
  <c r="E9" i="5" s="1"/>
  <c r="L68" i="5"/>
  <c r="C4" i="5" s="1"/>
  <c r="D34" i="5"/>
  <c r="D33" i="5"/>
  <c r="C10" i="3" a="1"/>
  <c r="C10" i="3" s="1"/>
  <c r="C5" i="3" a="1"/>
  <c r="C5" i="3" s="1"/>
  <c r="B10" i="3" a="1"/>
  <c r="B10" i="3" s="1"/>
  <c r="B5" i="3" a="1"/>
  <c r="B5" i="3" s="1"/>
  <c r="D35" i="5"/>
  <c r="D10" i="3" a="1"/>
  <c r="D10" i="3" s="1"/>
  <c r="D5" i="3" a="1"/>
  <c r="D5" i="3" s="1"/>
  <c r="D29" i="5"/>
  <c r="D36" i="5"/>
  <c r="E24" i="5"/>
  <c r="N7" i="6"/>
  <c r="O7" i="6"/>
  <c r="M7" i="6"/>
  <c r="K43" i="4"/>
  <c r="J43" i="4"/>
  <c r="I43" i="4"/>
  <c r="E43" i="4"/>
  <c r="D11" i="4" l="1"/>
  <c r="B9" i="4"/>
  <c r="C9" i="4"/>
  <c r="B10" i="4"/>
  <c r="C10" i="4"/>
  <c r="B11" i="4"/>
  <c r="C11" i="4"/>
  <c r="B12" i="4"/>
  <c r="C12" i="4"/>
  <c r="C8" i="4"/>
  <c r="B8" i="4"/>
  <c r="C20" i="4"/>
  <c r="B20" i="4"/>
  <c r="D3" i="1"/>
  <c r="X23" i="7"/>
  <c r="L87" i="4" l="1"/>
  <c r="L84" i="4"/>
  <c r="L85" i="4"/>
  <c r="L86" i="4"/>
  <c r="L83" i="4"/>
  <c r="L82" i="4"/>
  <c r="L78" i="4"/>
  <c r="L77" i="4"/>
  <c r="L76" i="4"/>
  <c r="L75" i="4"/>
  <c r="L74" i="4"/>
  <c r="L73" i="4"/>
  <c r="F81" i="4"/>
  <c r="F72" i="4"/>
  <c r="L79" i="4" l="1"/>
  <c r="L88" i="4"/>
  <c r="H20" i="4" l="1"/>
  <c r="G20" i="4"/>
  <c r="H19" i="4"/>
  <c r="G19" i="4"/>
  <c r="H18" i="4"/>
  <c r="G18" i="4"/>
  <c r="H17" i="4"/>
  <c r="G17" i="4"/>
  <c r="H16" i="4"/>
  <c r="G16" i="4"/>
  <c r="H12" i="4"/>
  <c r="G12" i="4"/>
  <c r="H11" i="4"/>
  <c r="G11" i="4"/>
  <c r="H10" i="4"/>
  <c r="G10" i="4"/>
  <c r="L10" i="4" s="1"/>
  <c r="H9" i="4"/>
  <c r="H8" i="4"/>
  <c r="G9" i="4"/>
  <c r="G8" i="4"/>
  <c r="I17" i="4"/>
  <c r="I18" i="4"/>
  <c r="I19" i="4"/>
  <c r="I20" i="4"/>
  <c r="I16" i="4"/>
  <c r="I9" i="4"/>
  <c r="I10" i="4"/>
  <c r="I11" i="4"/>
  <c r="I12" i="4"/>
  <c r="I8" i="4"/>
  <c r="D44" i="9" l="1"/>
  <c r="C44" i="9"/>
  <c r="B44" i="9"/>
  <c r="E44" i="9" s="1"/>
  <c r="F44" i="9" s="1"/>
  <c r="E43" i="9"/>
  <c r="F43" i="9" s="1"/>
  <c r="E42" i="9"/>
  <c r="F42" i="9" s="1"/>
  <c r="D39" i="9"/>
  <c r="E39" i="9" s="1"/>
  <c r="F39" i="9" s="1"/>
  <c r="C39" i="9"/>
  <c r="B39" i="9"/>
  <c r="E38" i="9"/>
  <c r="F38" i="9" s="1"/>
  <c r="E37" i="9"/>
  <c r="F37" i="9" s="1"/>
  <c r="E29" i="9"/>
  <c r="F29" i="9" s="1"/>
  <c r="D29" i="9"/>
  <c r="C29" i="9"/>
  <c r="B29" i="9"/>
  <c r="E28" i="9"/>
  <c r="F28" i="9" s="1"/>
  <c r="E27" i="9"/>
  <c r="F27" i="9" s="1"/>
  <c r="D24" i="9"/>
  <c r="C24" i="9"/>
  <c r="B24" i="9"/>
  <c r="E24" i="9" s="1"/>
  <c r="F24" i="9" s="1"/>
  <c r="E23" i="9"/>
  <c r="F23" i="9" s="1"/>
  <c r="E22" i="9"/>
  <c r="F22" i="9" s="1"/>
  <c r="D16" i="9"/>
  <c r="C16" i="9"/>
  <c r="B16" i="9"/>
  <c r="E16" i="9" s="1"/>
  <c r="F16" i="9" s="1"/>
  <c r="E15" i="9"/>
  <c r="F15" i="9" s="1"/>
  <c r="F14" i="9"/>
  <c r="E14" i="9"/>
  <c r="D11" i="9"/>
  <c r="C11" i="9"/>
  <c r="E11" i="9" s="1"/>
  <c r="F11" i="9" s="1"/>
  <c r="B11" i="9"/>
  <c r="E10" i="9"/>
  <c r="F10" i="9" s="1"/>
  <c r="F9" i="9"/>
  <c r="E9" i="9"/>
  <c r="D44" i="16"/>
  <c r="C44" i="16"/>
  <c r="E44" i="16" s="1"/>
  <c r="F44" i="16" s="1"/>
  <c r="B44" i="16"/>
  <c r="E43" i="16"/>
  <c r="F43" i="16" s="1"/>
  <c r="E42" i="16"/>
  <c r="F42" i="16" s="1"/>
  <c r="D39" i="16"/>
  <c r="C39" i="16"/>
  <c r="B39" i="16"/>
  <c r="E39" i="16" s="1"/>
  <c r="F39" i="16" s="1"/>
  <c r="E38" i="16"/>
  <c r="F38" i="16" s="1"/>
  <c r="E37" i="16"/>
  <c r="F37" i="16" s="1"/>
  <c r="E29" i="16"/>
  <c r="F29" i="16" s="1"/>
  <c r="D29" i="16"/>
  <c r="C29" i="16"/>
  <c r="B29" i="16"/>
  <c r="E28" i="16"/>
  <c r="F28" i="16" s="1"/>
  <c r="F27" i="16"/>
  <c r="E27" i="16"/>
  <c r="D24" i="16"/>
  <c r="C24" i="16"/>
  <c r="B24" i="16"/>
  <c r="E24" i="16" s="1"/>
  <c r="F24" i="16" s="1"/>
  <c r="E23" i="16"/>
  <c r="F23" i="16" s="1"/>
  <c r="E22" i="16"/>
  <c r="F22" i="16" s="1"/>
  <c r="D16" i="16"/>
  <c r="C16" i="16"/>
  <c r="E16" i="16" s="1"/>
  <c r="F16" i="16" s="1"/>
  <c r="B16" i="16"/>
  <c r="E15" i="16"/>
  <c r="F15" i="16" s="1"/>
  <c r="F14" i="16"/>
  <c r="E14" i="16"/>
  <c r="D11" i="16"/>
  <c r="C11" i="16"/>
  <c r="B11" i="16"/>
  <c r="E11" i="16" s="1"/>
  <c r="F11" i="16" s="1"/>
  <c r="E10" i="16"/>
  <c r="F10" i="16" s="1"/>
  <c r="E9" i="16"/>
  <c r="F9" i="16" s="1"/>
  <c r="D44" i="15"/>
  <c r="C44" i="15"/>
  <c r="B44" i="15"/>
  <c r="E44" i="15" s="1"/>
  <c r="F44" i="15" s="1"/>
  <c r="E43" i="15"/>
  <c r="F43" i="15" s="1"/>
  <c r="E42" i="15"/>
  <c r="F42" i="15" s="1"/>
  <c r="D39" i="15"/>
  <c r="E39" i="15" s="1"/>
  <c r="F39" i="15" s="1"/>
  <c r="C39" i="15"/>
  <c r="B39" i="15"/>
  <c r="E38" i="15"/>
  <c r="F38" i="15" s="1"/>
  <c r="E37" i="15"/>
  <c r="F37" i="15" s="1"/>
  <c r="E29" i="15"/>
  <c r="F29" i="15" s="1"/>
  <c r="D29" i="15"/>
  <c r="C29" i="15"/>
  <c r="B29" i="15"/>
  <c r="E28" i="15"/>
  <c r="F28" i="15" s="1"/>
  <c r="E27" i="15"/>
  <c r="F27" i="15" s="1"/>
  <c r="D24" i="15"/>
  <c r="C24" i="15"/>
  <c r="B24" i="15"/>
  <c r="E24" i="15" s="1"/>
  <c r="F24" i="15" s="1"/>
  <c r="E23" i="15"/>
  <c r="F23" i="15" s="1"/>
  <c r="E22" i="15"/>
  <c r="F22" i="15" s="1"/>
  <c r="D16" i="15"/>
  <c r="C16" i="15"/>
  <c r="B16" i="15"/>
  <c r="E16" i="15" s="1"/>
  <c r="F16" i="15" s="1"/>
  <c r="E15" i="15"/>
  <c r="F15" i="15" s="1"/>
  <c r="E14" i="15"/>
  <c r="F14" i="15" s="1"/>
  <c r="D11" i="15"/>
  <c r="E11" i="15" s="1"/>
  <c r="F11" i="15" s="1"/>
  <c r="C11" i="15"/>
  <c r="B11" i="15"/>
  <c r="E10" i="15"/>
  <c r="F10" i="15" s="1"/>
  <c r="E9" i="15"/>
  <c r="F9" i="15" s="1"/>
  <c r="D44" i="14"/>
  <c r="C44" i="14"/>
  <c r="B44" i="14"/>
  <c r="E44" i="14" s="1"/>
  <c r="F44" i="14" s="1"/>
  <c r="E43" i="14"/>
  <c r="F43" i="14" s="1"/>
  <c r="E42" i="14"/>
  <c r="F42" i="14" s="1"/>
  <c r="D39" i="14"/>
  <c r="E39" i="14" s="1"/>
  <c r="F39" i="14" s="1"/>
  <c r="C39" i="14"/>
  <c r="B39" i="14"/>
  <c r="E38" i="14"/>
  <c r="F38" i="14" s="1"/>
  <c r="E37" i="14"/>
  <c r="F37" i="14" s="1"/>
  <c r="E29" i="14"/>
  <c r="F29" i="14" s="1"/>
  <c r="D29" i="14"/>
  <c r="C29" i="14"/>
  <c r="B29" i="14"/>
  <c r="E28" i="14"/>
  <c r="F28" i="14" s="1"/>
  <c r="E27" i="14"/>
  <c r="F27" i="14" s="1"/>
  <c r="D24" i="14"/>
  <c r="C24" i="14"/>
  <c r="B24" i="14"/>
  <c r="E24" i="14" s="1"/>
  <c r="F24" i="14" s="1"/>
  <c r="E23" i="14"/>
  <c r="F23" i="14" s="1"/>
  <c r="E22" i="14"/>
  <c r="F22" i="14" s="1"/>
  <c r="D16" i="14"/>
  <c r="C16" i="14"/>
  <c r="B16" i="14"/>
  <c r="E16" i="14" s="1"/>
  <c r="F16" i="14" s="1"/>
  <c r="E15" i="14"/>
  <c r="F15" i="14" s="1"/>
  <c r="E14" i="14"/>
  <c r="F14" i="14" s="1"/>
  <c r="D11" i="14"/>
  <c r="E11" i="14" s="1"/>
  <c r="F11" i="14" s="1"/>
  <c r="C11" i="14"/>
  <c r="B11" i="14"/>
  <c r="E10" i="14"/>
  <c r="F10" i="14" s="1"/>
  <c r="E9" i="14"/>
  <c r="F9" i="14" s="1"/>
  <c r="D44" i="13"/>
  <c r="C44" i="13"/>
  <c r="B44" i="13"/>
  <c r="E44" i="13" s="1"/>
  <c r="F44" i="13" s="1"/>
  <c r="E43" i="13"/>
  <c r="F43" i="13" s="1"/>
  <c r="E42" i="13"/>
  <c r="F42" i="13" s="1"/>
  <c r="D39" i="13"/>
  <c r="C39" i="13"/>
  <c r="E39" i="13" s="1"/>
  <c r="F39" i="13" s="1"/>
  <c r="B39" i="13"/>
  <c r="E38" i="13"/>
  <c r="F38" i="13" s="1"/>
  <c r="E37" i="13"/>
  <c r="F37" i="13" s="1"/>
  <c r="D29" i="13"/>
  <c r="E29" i="13" s="1"/>
  <c r="F29" i="13" s="1"/>
  <c r="C29" i="13"/>
  <c r="B29" i="13"/>
  <c r="E28" i="13"/>
  <c r="F28" i="13" s="1"/>
  <c r="E27" i="13"/>
  <c r="F27" i="13" s="1"/>
  <c r="E24" i="13"/>
  <c r="F24" i="13" s="1"/>
  <c r="D24" i="13"/>
  <c r="C24" i="13"/>
  <c r="B24" i="13"/>
  <c r="E23" i="13"/>
  <c r="F23" i="13" s="1"/>
  <c r="E22" i="13"/>
  <c r="F22" i="13" s="1"/>
  <c r="D16" i="13"/>
  <c r="C16" i="13"/>
  <c r="B16" i="13"/>
  <c r="E16" i="13" s="1"/>
  <c r="F16" i="13" s="1"/>
  <c r="E15" i="13"/>
  <c r="F15" i="13" s="1"/>
  <c r="E14" i="13"/>
  <c r="F14" i="13" s="1"/>
  <c r="D11" i="13"/>
  <c r="C11" i="13"/>
  <c r="E11" i="13" s="1"/>
  <c r="F11" i="13" s="1"/>
  <c r="B11" i="13"/>
  <c r="E10" i="13"/>
  <c r="F10" i="13" s="1"/>
  <c r="G15" i="3" s="1"/>
  <c r="E9" i="13"/>
  <c r="F9" i="13" s="1"/>
  <c r="D44" i="12"/>
  <c r="C44" i="12"/>
  <c r="B44" i="12"/>
  <c r="E44" i="12" s="1"/>
  <c r="F44" i="12" s="1"/>
  <c r="E43" i="12"/>
  <c r="F43" i="12" s="1"/>
  <c r="E42" i="12"/>
  <c r="F42" i="12" s="1"/>
  <c r="D39" i="12"/>
  <c r="E39" i="12" s="1"/>
  <c r="F39" i="12" s="1"/>
  <c r="C39" i="12"/>
  <c r="B39" i="12"/>
  <c r="E38" i="12"/>
  <c r="F38" i="12" s="1"/>
  <c r="E37" i="12"/>
  <c r="F37" i="12" s="1"/>
  <c r="E29" i="12"/>
  <c r="F29" i="12" s="1"/>
  <c r="D29" i="12"/>
  <c r="C29" i="12"/>
  <c r="B29" i="12"/>
  <c r="E28" i="12"/>
  <c r="F28" i="12" s="1"/>
  <c r="E27" i="12"/>
  <c r="F27" i="12" s="1"/>
  <c r="D24" i="12"/>
  <c r="C24" i="12"/>
  <c r="B24" i="12"/>
  <c r="E24" i="12" s="1"/>
  <c r="F24" i="12" s="1"/>
  <c r="E23" i="12"/>
  <c r="F23" i="12" s="1"/>
  <c r="E22" i="12"/>
  <c r="F22" i="12" s="1"/>
  <c r="D16" i="12"/>
  <c r="C16" i="12"/>
  <c r="B16" i="12"/>
  <c r="E16" i="12" s="1"/>
  <c r="F16" i="12" s="1"/>
  <c r="E15" i="12"/>
  <c r="F15" i="12" s="1"/>
  <c r="E14" i="12"/>
  <c r="F14" i="12" s="1"/>
  <c r="D11" i="12"/>
  <c r="C11" i="12"/>
  <c r="E11" i="12" s="1"/>
  <c r="F11" i="12" s="1"/>
  <c r="B11" i="12"/>
  <c r="E10" i="12"/>
  <c r="F10" i="12" s="1"/>
  <c r="E9" i="12"/>
  <c r="F9" i="12" s="1"/>
  <c r="D44" i="10"/>
  <c r="C44" i="10"/>
  <c r="B44" i="10"/>
  <c r="E44" i="10" s="1"/>
  <c r="F44" i="10" s="1"/>
  <c r="E43" i="10"/>
  <c r="F43" i="10" s="1"/>
  <c r="E42" i="10"/>
  <c r="F42" i="10" s="1"/>
  <c r="D39" i="10"/>
  <c r="C39" i="10"/>
  <c r="E39" i="10" s="1"/>
  <c r="F39" i="10" s="1"/>
  <c r="B39" i="10"/>
  <c r="E38" i="10"/>
  <c r="F38" i="10" s="1"/>
  <c r="E37" i="10"/>
  <c r="F37" i="10" s="1"/>
  <c r="D29" i="10"/>
  <c r="E29" i="10" s="1"/>
  <c r="F29" i="10" s="1"/>
  <c r="C29" i="10"/>
  <c r="B29" i="10"/>
  <c r="E28" i="10"/>
  <c r="F28" i="10" s="1"/>
  <c r="E27" i="10"/>
  <c r="F27" i="10" s="1"/>
  <c r="E24" i="10"/>
  <c r="F24" i="10" s="1"/>
  <c r="D24" i="10"/>
  <c r="C24" i="10"/>
  <c r="B24" i="10"/>
  <c r="E23" i="10"/>
  <c r="F23" i="10" s="1"/>
  <c r="E22" i="10"/>
  <c r="F22" i="10" s="1"/>
  <c r="D16" i="10"/>
  <c r="C16" i="10"/>
  <c r="B16" i="10"/>
  <c r="E16" i="10" s="1"/>
  <c r="F16" i="10" s="1"/>
  <c r="E15" i="10"/>
  <c r="F15" i="10" s="1"/>
  <c r="E14" i="10"/>
  <c r="F14" i="10" s="1"/>
  <c r="D11" i="10"/>
  <c r="C11" i="10"/>
  <c r="E11" i="10" s="1"/>
  <c r="F11" i="10" s="1"/>
  <c r="B11" i="10"/>
  <c r="E10" i="10"/>
  <c r="F10" i="10" s="1"/>
  <c r="E9" i="10"/>
  <c r="F9" i="10" s="1"/>
  <c r="D44" i="11"/>
  <c r="C44" i="11"/>
  <c r="B44" i="11"/>
  <c r="E44" i="11" s="1"/>
  <c r="F44" i="11" s="1"/>
  <c r="E43" i="11"/>
  <c r="F43" i="11" s="1"/>
  <c r="E42" i="11"/>
  <c r="F42" i="11" s="1"/>
  <c r="D39" i="11"/>
  <c r="C39" i="11"/>
  <c r="B39" i="11"/>
  <c r="E39" i="11" s="1"/>
  <c r="F39" i="11" s="1"/>
  <c r="E38" i="11"/>
  <c r="F38" i="11" s="1"/>
  <c r="E37" i="11"/>
  <c r="F37" i="11" s="1"/>
  <c r="D29" i="11"/>
  <c r="C29" i="11"/>
  <c r="B29" i="11"/>
  <c r="E29" i="11" s="1"/>
  <c r="F29" i="11" s="1"/>
  <c r="E28" i="11"/>
  <c r="F28" i="11" s="1"/>
  <c r="E27" i="11"/>
  <c r="F27" i="11" s="1"/>
  <c r="D24" i="11"/>
  <c r="C24" i="11"/>
  <c r="E24" i="11" s="1"/>
  <c r="F24" i="11" s="1"/>
  <c r="B24" i="11"/>
  <c r="E23" i="11"/>
  <c r="F23" i="11" s="1"/>
  <c r="E22" i="11"/>
  <c r="F22" i="11" s="1"/>
  <c r="D16" i="11"/>
  <c r="E16" i="11" s="1"/>
  <c r="F16" i="11" s="1"/>
  <c r="C16" i="11"/>
  <c r="B16" i="11"/>
  <c r="E15" i="11"/>
  <c r="F15" i="11" s="1"/>
  <c r="E14" i="11"/>
  <c r="F14" i="11" s="1"/>
  <c r="E11" i="11"/>
  <c r="F11" i="11" s="1"/>
  <c r="D11" i="11"/>
  <c r="C11" i="11"/>
  <c r="B11" i="11"/>
  <c r="E10" i="11"/>
  <c r="F10" i="11" s="1"/>
  <c r="E9" i="11"/>
  <c r="F9" i="11" s="1"/>
  <c r="E43" i="8"/>
  <c r="F43" i="8" s="1"/>
  <c r="E44" i="8"/>
  <c r="F44" i="8" s="1"/>
  <c r="E42" i="8"/>
  <c r="F42" i="8" s="1"/>
  <c r="E38" i="8"/>
  <c r="F38" i="8" s="1"/>
  <c r="E39" i="8"/>
  <c r="F39" i="8" s="1"/>
  <c r="E37" i="8"/>
  <c r="F37" i="8" s="1"/>
  <c r="E28" i="8"/>
  <c r="F28" i="8" s="1"/>
  <c r="E29" i="8"/>
  <c r="F29" i="8" s="1"/>
  <c r="E27" i="8"/>
  <c r="F27" i="8" s="1"/>
  <c r="E23" i="8"/>
  <c r="F23" i="8" s="1"/>
  <c r="E24" i="8"/>
  <c r="F24" i="8" s="1"/>
  <c r="E22" i="8"/>
  <c r="F22" i="8" s="1"/>
  <c r="E15" i="8"/>
  <c r="F15" i="8" s="1"/>
  <c r="E16" i="8"/>
  <c r="F16" i="8" s="1"/>
  <c r="E14" i="8"/>
  <c r="F14" i="8" s="1"/>
  <c r="C19" i="3" s="1"/>
  <c r="E11" i="8"/>
  <c r="F11" i="8" s="1"/>
  <c r="E10" i="8"/>
  <c r="F10" i="8" s="1"/>
  <c r="C15" i="3" s="1"/>
  <c r="E9" i="8"/>
  <c r="F9" i="8" s="1"/>
  <c r="C14" i="3" s="1"/>
  <c r="I6" i="2" l="1"/>
  <c r="I10" i="2"/>
  <c r="G20" i="3"/>
  <c r="G19" i="3"/>
  <c r="G14" i="3"/>
  <c r="H19" i="3"/>
  <c r="H15" i="3" l="1"/>
  <c r="H14" i="3"/>
  <c r="H20" i="3"/>
  <c r="J48" i="3" l="1"/>
  <c r="J47" i="3"/>
  <c r="J42" i="3"/>
  <c r="I27" i="3"/>
  <c r="J43" i="3"/>
  <c r="J33" i="3"/>
  <c r="J32" i="3"/>
  <c r="J28" i="3"/>
  <c r="J27" i="3"/>
  <c r="J20" i="3"/>
  <c r="J19" i="3"/>
  <c r="J15" i="3"/>
  <c r="J14" i="3"/>
  <c r="I48" i="3"/>
  <c r="I47" i="3"/>
  <c r="I49" i="3" s="1"/>
  <c r="I43" i="3"/>
  <c r="I42" i="3"/>
  <c r="I33" i="3"/>
  <c r="I32" i="3"/>
  <c r="I28" i="3"/>
  <c r="I20" i="3"/>
  <c r="I19" i="3"/>
  <c r="I15" i="3"/>
  <c r="I14" i="3"/>
  <c r="I21" i="3" l="1"/>
  <c r="J49" i="3"/>
  <c r="J44" i="3"/>
  <c r="I16" i="3"/>
  <c r="I44" i="3"/>
  <c r="J21" i="3"/>
  <c r="J16" i="3"/>
  <c r="H16" i="3" l="1"/>
  <c r="H21" i="3"/>
  <c r="F48" i="3"/>
  <c r="F47" i="3"/>
  <c r="F43" i="3"/>
  <c r="F42" i="3"/>
  <c r="F44" i="3" s="1"/>
  <c r="F20" i="3"/>
  <c r="F19" i="3"/>
  <c r="F15" i="3"/>
  <c r="F14" i="3"/>
  <c r="D48" i="3"/>
  <c r="D47" i="3"/>
  <c r="D43" i="3"/>
  <c r="D42" i="3"/>
  <c r="D20" i="3"/>
  <c r="D19" i="3"/>
  <c r="D15" i="3"/>
  <c r="D14" i="3"/>
  <c r="F21" i="3" l="1"/>
  <c r="F49" i="3"/>
  <c r="D21" i="3"/>
  <c r="D49" i="3"/>
  <c r="D44" i="3"/>
  <c r="D16" i="3"/>
  <c r="F16" i="3"/>
  <c r="E48" i="3"/>
  <c r="E47" i="3"/>
  <c r="E43" i="3"/>
  <c r="E42" i="3"/>
  <c r="E20" i="3"/>
  <c r="E19" i="3"/>
  <c r="E15" i="3"/>
  <c r="E14" i="3"/>
  <c r="K48" i="3"/>
  <c r="K47" i="3"/>
  <c r="K43" i="3"/>
  <c r="K42" i="3"/>
  <c r="K33" i="3"/>
  <c r="K32" i="3"/>
  <c r="K28" i="3"/>
  <c r="K27" i="3"/>
  <c r="K20" i="3"/>
  <c r="K19" i="3"/>
  <c r="K15" i="3"/>
  <c r="K14" i="3"/>
  <c r="K44" i="3" l="1"/>
  <c r="K49" i="3"/>
  <c r="D44" i="8"/>
  <c r="C44" i="8"/>
  <c r="B44" i="8"/>
  <c r="C48" i="3"/>
  <c r="C47" i="3"/>
  <c r="D39" i="8"/>
  <c r="C39" i="8"/>
  <c r="B39" i="8"/>
  <c r="C43" i="3"/>
  <c r="C42" i="3"/>
  <c r="D29" i="8"/>
  <c r="C29" i="8"/>
  <c r="B29" i="8"/>
  <c r="D24" i="8"/>
  <c r="C24" i="8"/>
  <c r="B24" i="8"/>
  <c r="D16" i="8"/>
  <c r="C16" i="8"/>
  <c r="B16" i="8"/>
  <c r="C20" i="3"/>
  <c r="D11" i="8"/>
  <c r="C11" i="8"/>
  <c r="B11" i="8"/>
  <c r="W23" i="7" l="1"/>
  <c r="V23" i="7"/>
  <c r="U23" i="7"/>
  <c r="T23" i="7"/>
  <c r="S23" i="7"/>
  <c r="R23" i="7"/>
  <c r="Q23" i="7"/>
  <c r="P23" i="7"/>
  <c r="O23" i="7"/>
  <c r="N23" i="7"/>
  <c r="L23" i="7"/>
  <c r="K23" i="7"/>
  <c r="J23" i="7"/>
  <c r="I23" i="7"/>
  <c r="H23" i="7"/>
  <c r="G23" i="7"/>
  <c r="F23" i="7"/>
  <c r="E23" i="7"/>
  <c r="D23" i="7"/>
  <c r="C23" i="7"/>
  <c r="N8" i="7"/>
  <c r="C8" i="7"/>
  <c r="Z7" i="7"/>
  <c r="B25" i="6"/>
  <c r="B20" i="6"/>
  <c r="I13" i="6"/>
  <c r="B11" i="6"/>
  <c r="I8" i="6"/>
  <c r="B6" i="6"/>
  <c r="O36" i="5"/>
  <c r="C88" i="3" s="1"/>
  <c r="O35" i="5"/>
  <c r="C87" i="3" s="1"/>
  <c r="O87" i="3" s="1"/>
  <c r="O34" i="5"/>
  <c r="C85" i="3" s="1"/>
  <c r="O33" i="5"/>
  <c r="O32" i="5"/>
  <c r="K6" i="5"/>
  <c r="L6" i="5"/>
  <c r="M6" i="5"/>
  <c r="N6" i="5"/>
  <c r="O31" i="5"/>
  <c r="N30" i="5"/>
  <c r="O29" i="5"/>
  <c r="H27" i="5"/>
  <c r="B27" i="5"/>
  <c r="O22" i="5"/>
  <c r="O21" i="5"/>
  <c r="C80" i="3" s="1"/>
  <c r="O80" i="3" s="1"/>
  <c r="O20" i="5"/>
  <c r="C78" i="3" s="1"/>
  <c r="O19" i="5"/>
  <c r="O18" i="5"/>
  <c r="O17" i="5"/>
  <c r="N16" i="5"/>
  <c r="D16" i="5" s="1"/>
  <c r="O15" i="5"/>
  <c r="F62" i="4"/>
  <c r="G67" i="4"/>
  <c r="G58" i="4"/>
  <c r="F54" i="4"/>
  <c r="E46" i="4"/>
  <c r="F46" i="4" s="1"/>
  <c r="A45" i="4"/>
  <c r="F43" i="4"/>
  <c r="A42" i="4"/>
  <c r="C36" i="4"/>
  <c r="B34" i="4"/>
  <c r="C32" i="4"/>
  <c r="B30" i="4"/>
  <c r="N20" i="4"/>
  <c r="M20" i="4"/>
  <c r="G66" i="4"/>
  <c r="N18" i="4"/>
  <c r="M18" i="4"/>
  <c r="G65" i="4"/>
  <c r="L65" i="4" s="1"/>
  <c r="N17" i="4"/>
  <c r="M17" i="4"/>
  <c r="L17" i="4"/>
  <c r="N16" i="4"/>
  <c r="N19" i="4"/>
  <c r="M16" i="4"/>
  <c r="L16" i="4"/>
  <c r="K15" i="4"/>
  <c r="N12" i="4"/>
  <c r="M12" i="4"/>
  <c r="G59" i="4"/>
  <c r="L59" i="4" s="1"/>
  <c r="M11" i="4"/>
  <c r="M19" i="4"/>
  <c r="N10" i="4"/>
  <c r="M10" i="4"/>
  <c r="N9" i="4"/>
  <c r="M9" i="4"/>
  <c r="L9" i="4"/>
  <c r="N8" i="4"/>
  <c r="L8" i="4"/>
  <c r="M8" i="4"/>
  <c r="K7" i="4"/>
  <c r="O83" i="3"/>
  <c r="I83" i="3"/>
  <c r="C83" i="3"/>
  <c r="C81" i="3"/>
  <c r="I81" i="3" s="1"/>
  <c r="O76" i="3"/>
  <c r="I76" i="3"/>
  <c r="C76" i="3"/>
  <c r="M47" i="3"/>
  <c r="B46" i="3"/>
  <c r="E44" i="3"/>
  <c r="B41" i="3"/>
  <c r="B31" i="3"/>
  <c r="B26" i="3"/>
  <c r="G21" i="3"/>
  <c r="K21" i="3"/>
  <c r="B18" i="3"/>
  <c r="G16" i="3"/>
  <c r="E16" i="3"/>
  <c r="I3" i="2"/>
  <c r="I4" i="2"/>
  <c r="I5" i="2"/>
  <c r="I7" i="2"/>
  <c r="I8" i="2"/>
  <c r="I9" i="2"/>
  <c r="I11" i="2"/>
  <c r="I12" i="2"/>
  <c r="E12" i="2"/>
  <c r="E11" i="2"/>
  <c r="E10" i="2"/>
  <c r="E9" i="2"/>
  <c r="E8" i="2"/>
  <c r="E7" i="2"/>
  <c r="E6" i="2"/>
  <c r="E5" i="2"/>
  <c r="Q3" i="2"/>
  <c r="Q4" i="2" s="1"/>
  <c r="E4" i="2"/>
  <c r="AG3" i="2"/>
  <c r="AG4" i="2" s="1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L3" i="2"/>
  <c r="AE3" i="2" s="1"/>
  <c r="AD3" i="2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Z3" i="2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H3" i="2"/>
  <c r="H4" i="2" s="1"/>
  <c r="H5" i="2" s="1"/>
  <c r="E3" i="2"/>
  <c r="E13" i="2" s="1"/>
  <c r="D3" i="2"/>
  <c r="D4" i="2" s="1"/>
  <c r="D5" i="2" s="1"/>
  <c r="J1" i="2"/>
  <c r="F1" i="2"/>
  <c r="L19" i="4"/>
  <c r="L11" i="4"/>
  <c r="L12" i="4"/>
  <c r="M43" i="3"/>
  <c r="E21" i="3"/>
  <c r="M20" i="3"/>
  <c r="K16" i="3"/>
  <c r="M15" i="3"/>
  <c r="M14" i="3"/>
  <c r="C16" i="3"/>
  <c r="M19" i="3"/>
  <c r="C21" i="3"/>
  <c r="N11" i="4"/>
  <c r="E49" i="3"/>
  <c r="M48" i="3"/>
  <c r="C44" i="3"/>
  <c r="C49" i="3"/>
  <c r="M42" i="3"/>
  <c r="L18" i="4"/>
  <c r="O30" i="5" l="1"/>
  <c r="D30" i="5"/>
  <c r="D37" i="5" s="1"/>
  <c r="D38" i="5" s="1"/>
  <c r="C17" i="5"/>
  <c r="C35" i="5"/>
  <c r="C21" i="5"/>
  <c r="C32" i="5"/>
  <c r="C18" i="5"/>
  <c r="C36" i="5"/>
  <c r="C22" i="5"/>
  <c r="C29" i="5"/>
  <c r="C15" i="5"/>
  <c r="C33" i="5"/>
  <c r="C31" i="5"/>
  <c r="C19" i="5"/>
  <c r="C30" i="5"/>
  <c r="C16" i="5"/>
  <c r="C34" i="5"/>
  <c r="C20" i="5"/>
  <c r="L84" i="5"/>
  <c r="C11" i="5" s="1"/>
  <c r="AH3" i="2"/>
  <c r="J13" i="6"/>
  <c r="C13" i="6" s="1"/>
  <c r="J8" i="6"/>
  <c r="C8" i="6" s="1"/>
  <c r="M76" i="5"/>
  <c r="D10" i="5" s="1"/>
  <c r="G64" i="4"/>
  <c r="L64" i="4" s="1"/>
  <c r="C77" i="3"/>
  <c r="I77" i="3" s="1"/>
  <c r="G55" i="4"/>
  <c r="L55" i="4" s="1"/>
  <c r="G56" i="4"/>
  <c r="L56" i="4" s="1"/>
  <c r="C84" i="3"/>
  <c r="G63" i="4"/>
  <c r="L63" i="4" s="1"/>
  <c r="O81" i="3"/>
  <c r="D8" i="7"/>
  <c r="C40" i="7"/>
  <c r="C36" i="7"/>
  <c r="C32" i="7"/>
  <c r="C28" i="7"/>
  <c r="C39" i="7"/>
  <c r="C35" i="7"/>
  <c r="C31" i="7"/>
  <c r="C27" i="7"/>
  <c r="C38" i="7"/>
  <c r="C30" i="7"/>
  <c r="C34" i="7"/>
  <c r="C37" i="7"/>
  <c r="C33" i="7"/>
  <c r="C29" i="7"/>
  <c r="F4" i="2"/>
  <c r="N40" i="7"/>
  <c r="N38" i="7"/>
  <c r="N36" i="7"/>
  <c r="N34" i="7"/>
  <c r="N32" i="7"/>
  <c r="N28" i="7"/>
  <c r="N35" i="7"/>
  <c r="N30" i="7"/>
  <c r="N37" i="7"/>
  <c r="N27" i="7"/>
  <c r="N39" i="7"/>
  <c r="N33" i="7"/>
  <c r="N31" i="7"/>
  <c r="N29" i="7"/>
  <c r="O8" i="7"/>
  <c r="J3" i="2"/>
  <c r="L76" i="5"/>
  <c r="C10" i="5" s="1"/>
  <c r="M68" i="5"/>
  <c r="D4" i="5" s="1"/>
  <c r="D15" i="5" s="1"/>
  <c r="M60" i="5"/>
  <c r="D9" i="5" s="1"/>
  <c r="M52" i="5"/>
  <c r="D8" i="5" s="1"/>
  <c r="F3" i="2"/>
  <c r="L60" i="5"/>
  <c r="C9" i="5" s="1"/>
  <c r="D20" i="5" s="1"/>
  <c r="O16" i="4"/>
  <c r="O10" i="4"/>
  <c r="N21" i="4"/>
  <c r="O11" i="4"/>
  <c r="N13" i="4"/>
  <c r="O78" i="3"/>
  <c r="I78" i="3"/>
  <c r="Q5" i="2"/>
  <c r="AH4" i="2"/>
  <c r="C79" i="3"/>
  <c r="I79" i="3" s="1"/>
  <c r="L20" i="4"/>
  <c r="L21" i="4" s="1"/>
  <c r="O19" i="4"/>
  <c r="G57" i="4"/>
  <c r="L57" i="4" s="1"/>
  <c r="O18" i="4"/>
  <c r="O8" i="4"/>
  <c r="L66" i="4"/>
  <c r="L4" i="2"/>
  <c r="O16" i="5"/>
  <c r="O17" i="4"/>
  <c r="M84" i="5"/>
  <c r="D11" i="5" s="1"/>
  <c r="L13" i="4"/>
  <c r="O9" i="4"/>
  <c r="F5" i="2"/>
  <c r="D6" i="2"/>
  <c r="L67" i="4"/>
  <c r="J5" i="2"/>
  <c r="H6" i="2"/>
  <c r="M21" i="4"/>
  <c r="L58" i="4"/>
  <c r="C86" i="3"/>
  <c r="I86" i="3" s="1"/>
  <c r="J4" i="2"/>
  <c r="O12" i="4"/>
  <c r="L52" i="5"/>
  <c r="M13" i="4"/>
  <c r="I13" i="2"/>
  <c r="I87" i="3"/>
  <c r="J29" i="3"/>
  <c r="J34" i="3"/>
  <c r="I29" i="3"/>
  <c r="D27" i="3"/>
  <c r="D33" i="3"/>
  <c r="D32" i="3"/>
  <c r="D28" i="3"/>
  <c r="O85" i="3"/>
  <c r="I85" i="3"/>
  <c r="O88" i="3"/>
  <c r="I80" i="3"/>
  <c r="M44" i="3"/>
  <c r="C33" i="3"/>
  <c r="C32" i="3"/>
  <c r="C28" i="3"/>
  <c r="C27" i="3"/>
  <c r="I88" i="3"/>
  <c r="M21" i="3"/>
  <c r="B16" i="2" s="1"/>
  <c r="M16" i="3"/>
  <c r="M49" i="3"/>
  <c r="D21" i="5" l="1"/>
  <c r="B20" i="2"/>
  <c r="B17" i="2"/>
  <c r="D22" i="5"/>
  <c r="C37" i="5"/>
  <c r="C38" i="5" s="1"/>
  <c r="F38" i="5" s="1"/>
  <c r="C23" i="5"/>
  <c r="C24" i="5" s="1"/>
  <c r="O77" i="3"/>
  <c r="B30" i="2"/>
  <c r="C8" i="5"/>
  <c r="D19" i="5" s="1"/>
  <c r="D23" i="5" s="1"/>
  <c r="D24" i="5" s="1"/>
  <c r="I84" i="3"/>
  <c r="I89" i="3" s="1"/>
  <c r="C12" i="6" s="1"/>
  <c r="C14" i="6" s="1"/>
  <c r="O84" i="3"/>
  <c r="E8" i="7"/>
  <c r="D40" i="7"/>
  <c r="D36" i="7"/>
  <c r="D32" i="7"/>
  <c r="D28" i="7"/>
  <c r="D39" i="7"/>
  <c r="D31" i="7"/>
  <c r="D27" i="7"/>
  <c r="D35" i="7"/>
  <c r="D38" i="7"/>
  <c r="D34" i="7"/>
  <c r="D30" i="7"/>
  <c r="D37" i="7"/>
  <c r="D33" i="7"/>
  <c r="D29" i="7"/>
  <c r="O40" i="7"/>
  <c r="O38" i="7"/>
  <c r="O36" i="7"/>
  <c r="O34" i="7"/>
  <c r="O32" i="7"/>
  <c r="O30" i="7"/>
  <c r="O28" i="7"/>
  <c r="O29" i="7"/>
  <c r="O39" i="7"/>
  <c r="O37" i="7"/>
  <c r="O35" i="7"/>
  <c r="O33" i="7"/>
  <c r="O31" i="7"/>
  <c r="O27" i="7"/>
  <c r="P8" i="7"/>
  <c r="O20" i="4"/>
  <c r="O13" i="4"/>
  <c r="O21" i="4"/>
  <c r="O79" i="3"/>
  <c r="L60" i="4"/>
  <c r="O86" i="3"/>
  <c r="L68" i="4"/>
  <c r="B23" i="2" s="1"/>
  <c r="B24" i="2" s="1"/>
  <c r="L5" i="2"/>
  <c r="AE4" i="2"/>
  <c r="Q6" i="2"/>
  <c r="AH5" i="2"/>
  <c r="C41" i="7"/>
  <c r="N41" i="7"/>
  <c r="J6" i="2"/>
  <c r="H7" i="2"/>
  <c r="D7" i="2"/>
  <c r="F6" i="2"/>
  <c r="I34" i="3"/>
  <c r="D34" i="3"/>
  <c r="D29" i="3"/>
  <c r="I82" i="3"/>
  <c r="K34" i="3"/>
  <c r="C29" i="3"/>
  <c r="M27" i="3"/>
  <c r="M28" i="3"/>
  <c r="C34" i="3"/>
  <c r="M32" i="3"/>
  <c r="K29" i="3"/>
  <c r="M33" i="3"/>
  <c r="B27" i="2"/>
  <c r="F24" i="5" l="1"/>
  <c r="C7" i="6"/>
  <c r="C9" i="6" s="1"/>
  <c r="R60" i="2"/>
  <c r="R59" i="2"/>
  <c r="R58" i="2"/>
  <c r="R57" i="2"/>
  <c r="R56" i="2"/>
  <c r="R55" i="2"/>
  <c r="R47" i="2"/>
  <c r="R39" i="2"/>
  <c r="R31" i="2"/>
  <c r="R23" i="2"/>
  <c r="R15" i="2"/>
  <c r="R7" i="2"/>
  <c r="M59" i="2"/>
  <c r="M51" i="2"/>
  <c r="M43" i="2"/>
  <c r="M35" i="2"/>
  <c r="M27" i="2"/>
  <c r="M19" i="2"/>
  <c r="M11" i="2"/>
  <c r="M3" i="2"/>
  <c r="N3" i="2" s="1"/>
  <c r="O3" i="2" s="1"/>
  <c r="R62" i="2"/>
  <c r="R54" i="2"/>
  <c r="R46" i="2"/>
  <c r="R38" i="2"/>
  <c r="R30" i="2"/>
  <c r="R22" i="2"/>
  <c r="R14" i="2"/>
  <c r="R6" i="2"/>
  <c r="S6" i="2" s="1"/>
  <c r="T6" i="2" s="1"/>
  <c r="M58" i="2"/>
  <c r="M50" i="2"/>
  <c r="M42" i="2"/>
  <c r="M34" i="2"/>
  <c r="M26" i="2"/>
  <c r="M18" i="2"/>
  <c r="M10" i="2"/>
  <c r="R61" i="2"/>
  <c r="R53" i="2"/>
  <c r="R45" i="2"/>
  <c r="R37" i="2"/>
  <c r="R29" i="2"/>
  <c r="R21" i="2"/>
  <c r="R13" i="2"/>
  <c r="R5" i="2"/>
  <c r="S5" i="2" s="1"/>
  <c r="T5" i="2" s="1"/>
  <c r="M57" i="2"/>
  <c r="M49" i="2"/>
  <c r="M41" i="2"/>
  <c r="M33" i="2"/>
  <c r="M25" i="2"/>
  <c r="M17" i="2"/>
  <c r="M9" i="2"/>
  <c r="R52" i="2"/>
  <c r="R44" i="2"/>
  <c r="R36" i="2"/>
  <c r="R28" i="2"/>
  <c r="R20" i="2"/>
  <c r="R12" i="2"/>
  <c r="R4" i="2"/>
  <c r="S4" i="2" s="1"/>
  <c r="T4" i="2" s="1"/>
  <c r="M56" i="2"/>
  <c r="M48" i="2"/>
  <c r="M40" i="2"/>
  <c r="M32" i="2"/>
  <c r="M24" i="2"/>
  <c r="M16" i="2"/>
  <c r="M8" i="2"/>
  <c r="R51" i="2"/>
  <c r="R43" i="2"/>
  <c r="R35" i="2"/>
  <c r="R27" i="2"/>
  <c r="R19" i="2"/>
  <c r="R11" i="2"/>
  <c r="R3" i="2"/>
  <c r="S3" i="2" s="1"/>
  <c r="T3" i="2" s="1"/>
  <c r="M55" i="2"/>
  <c r="M47" i="2"/>
  <c r="M39" i="2"/>
  <c r="M31" i="2"/>
  <c r="M23" i="2"/>
  <c r="M15" i="2"/>
  <c r="M7" i="2"/>
  <c r="N7" i="2" s="1"/>
  <c r="R50" i="2"/>
  <c r="R42" i="2"/>
  <c r="R34" i="2"/>
  <c r="R26" i="2"/>
  <c r="R18" i="2"/>
  <c r="R10" i="2"/>
  <c r="M62" i="2"/>
  <c r="M54" i="2"/>
  <c r="M46" i="2"/>
  <c r="M38" i="2"/>
  <c r="M30" i="2"/>
  <c r="R32" i="2"/>
  <c r="M60" i="2"/>
  <c r="M28" i="2"/>
  <c r="M5" i="2"/>
  <c r="N5" i="2" s="1"/>
  <c r="O5" i="2" s="1"/>
  <c r="R25" i="2"/>
  <c r="M53" i="2"/>
  <c r="M22" i="2"/>
  <c r="R49" i="2"/>
  <c r="M45" i="2"/>
  <c r="M20" i="2"/>
  <c r="M29" i="2"/>
  <c r="M4" i="2"/>
  <c r="R48" i="2"/>
  <c r="M44" i="2"/>
  <c r="R41" i="2"/>
  <c r="M37" i="2"/>
  <c r="R40" i="2"/>
  <c r="M36" i="2"/>
  <c r="M61" i="2"/>
  <c r="M6" i="2"/>
  <c r="R24" i="2"/>
  <c r="M52" i="2"/>
  <c r="M21" i="2"/>
  <c r="R17" i="2"/>
  <c r="R16" i="2"/>
  <c r="M14" i="2"/>
  <c r="R9" i="2"/>
  <c r="M13" i="2"/>
  <c r="R8" i="2"/>
  <c r="M12" i="2"/>
  <c r="R33" i="2"/>
  <c r="O82" i="3"/>
  <c r="O89" i="3"/>
  <c r="D41" i="7"/>
  <c r="F8" i="7"/>
  <c r="E39" i="7"/>
  <c r="E35" i="7"/>
  <c r="E31" i="7"/>
  <c r="E27" i="7"/>
  <c r="E38" i="7"/>
  <c r="E34" i="7"/>
  <c r="E30" i="7"/>
  <c r="E33" i="7"/>
  <c r="E37" i="7"/>
  <c r="E29" i="7"/>
  <c r="E32" i="7"/>
  <c r="E28" i="7"/>
  <c r="E40" i="7"/>
  <c r="E36" i="7"/>
  <c r="O41" i="7"/>
  <c r="Q8" i="7"/>
  <c r="P40" i="7"/>
  <c r="P38" i="7"/>
  <c r="P36" i="7"/>
  <c r="P34" i="7"/>
  <c r="P32" i="7"/>
  <c r="P30" i="7"/>
  <c r="P28" i="7"/>
  <c r="P39" i="7"/>
  <c r="P37" i="7"/>
  <c r="P35" i="7"/>
  <c r="P33" i="7"/>
  <c r="P31" i="7"/>
  <c r="P29" i="7"/>
  <c r="P27" i="7"/>
  <c r="AA3" i="2"/>
  <c r="AB3" i="2" s="1"/>
  <c r="AA4" i="2"/>
  <c r="AB4" i="2" s="1"/>
  <c r="AE5" i="2"/>
  <c r="L6" i="2"/>
  <c r="AA6" i="2"/>
  <c r="AB6" i="2" s="1"/>
  <c r="W3" i="2"/>
  <c r="X3" i="2" s="1"/>
  <c r="AH6" i="2"/>
  <c r="Q7" i="2"/>
  <c r="AA7" i="2" s="1"/>
  <c r="AB7" i="2" s="1"/>
  <c r="AA5" i="2"/>
  <c r="AB5" i="2" s="1"/>
  <c r="W5" i="2"/>
  <c r="X5" i="2" s="1"/>
  <c r="W4" i="2"/>
  <c r="X4" i="2" s="1"/>
  <c r="D8" i="2"/>
  <c r="F7" i="2"/>
  <c r="H8" i="2"/>
  <c r="J7" i="2"/>
  <c r="M34" i="3"/>
  <c r="M29" i="3"/>
  <c r="N4" i="2" l="1"/>
  <c r="O4" i="2" s="1"/>
  <c r="N6" i="2"/>
  <c r="O6" i="2" s="1"/>
  <c r="S7" i="2"/>
  <c r="T7" i="2" s="1"/>
  <c r="E41" i="7"/>
  <c r="G8" i="7"/>
  <c r="F39" i="7"/>
  <c r="F35" i="7"/>
  <c r="F31" i="7"/>
  <c r="F27" i="7"/>
  <c r="F38" i="7"/>
  <c r="F34" i="7"/>
  <c r="F30" i="7"/>
  <c r="F37" i="7"/>
  <c r="F33" i="7"/>
  <c r="F29" i="7"/>
  <c r="F40" i="7"/>
  <c r="F36" i="7"/>
  <c r="F32" i="7"/>
  <c r="F28" i="7"/>
  <c r="P41" i="7"/>
  <c r="R8" i="7"/>
  <c r="Q40" i="7"/>
  <c r="Q38" i="7"/>
  <c r="Q36" i="7"/>
  <c r="Q34" i="7"/>
  <c r="Q32" i="7"/>
  <c r="Q30" i="7"/>
  <c r="Q28" i="7"/>
  <c r="Q39" i="7"/>
  <c r="Q37" i="7"/>
  <c r="Q35" i="7"/>
  <c r="Q33" i="7"/>
  <c r="Q31" i="7"/>
  <c r="Q29" i="7"/>
  <c r="Q27" i="7"/>
  <c r="AE6" i="2"/>
  <c r="L7" i="2"/>
  <c r="W6" i="2"/>
  <c r="X6" i="2" s="1"/>
  <c r="Q8" i="2"/>
  <c r="AH7" i="2"/>
  <c r="F8" i="2"/>
  <c r="D9" i="2"/>
  <c r="H9" i="2"/>
  <c r="J8" i="2"/>
  <c r="F41" i="7" l="1"/>
  <c r="G38" i="7"/>
  <c r="G34" i="7"/>
  <c r="G30" i="7"/>
  <c r="G37" i="7"/>
  <c r="G33" i="7"/>
  <c r="G29" i="7"/>
  <c r="G36" i="7"/>
  <c r="G28" i="7"/>
  <c r="G31" i="7"/>
  <c r="G27" i="7"/>
  <c r="G40" i="7"/>
  <c r="G32" i="7"/>
  <c r="G39" i="7"/>
  <c r="G35" i="7"/>
  <c r="H8" i="7"/>
  <c r="Q41" i="7"/>
  <c r="S8" i="7"/>
  <c r="R37" i="7"/>
  <c r="R35" i="7"/>
  <c r="R33" i="7"/>
  <c r="R31" i="7"/>
  <c r="R29" i="7"/>
  <c r="R32" i="7"/>
  <c r="R27" i="7"/>
  <c r="R38" i="7"/>
  <c r="R36" i="7"/>
  <c r="R34" i="7"/>
  <c r="R30" i="7"/>
  <c r="R28" i="7"/>
  <c r="R39" i="7"/>
  <c r="R40" i="7"/>
  <c r="Q9" i="2"/>
  <c r="S8" i="2"/>
  <c r="T8" i="2" s="1"/>
  <c r="AA8" i="2"/>
  <c r="AB8" i="2" s="1"/>
  <c r="AH8" i="2"/>
  <c r="L8" i="2"/>
  <c r="AE7" i="2"/>
  <c r="W7" i="2"/>
  <c r="X7" i="2" s="1"/>
  <c r="O7" i="2"/>
  <c r="D10" i="2"/>
  <c r="F9" i="2"/>
  <c r="J9" i="2"/>
  <c r="H10" i="2"/>
  <c r="H38" i="7" l="1"/>
  <c r="H34" i="7"/>
  <c r="H30" i="7"/>
  <c r="H37" i="7"/>
  <c r="H33" i="7"/>
  <c r="H29" i="7"/>
  <c r="H40" i="7"/>
  <c r="H36" i="7"/>
  <c r="H32" i="7"/>
  <c r="H28" i="7"/>
  <c r="H39" i="7"/>
  <c r="H35" i="7"/>
  <c r="H31" i="7"/>
  <c r="H27" i="7"/>
  <c r="I8" i="7"/>
  <c r="G41" i="7"/>
  <c r="R41" i="7"/>
  <c r="T8" i="7"/>
  <c r="S39" i="7"/>
  <c r="S37" i="7"/>
  <c r="S35" i="7"/>
  <c r="S33" i="7"/>
  <c r="S31" i="7"/>
  <c r="S29" i="7"/>
  <c r="S27" i="7"/>
  <c r="S30" i="7"/>
  <c r="S38" i="7"/>
  <c r="S36" i="7"/>
  <c r="S34" i="7"/>
  <c r="S32" i="7"/>
  <c r="S28" i="7"/>
  <c r="S40" i="7"/>
  <c r="L9" i="2"/>
  <c r="AE8" i="2"/>
  <c r="W8" i="2"/>
  <c r="X8" i="2" s="1"/>
  <c r="S9" i="2"/>
  <c r="T9" i="2" s="1"/>
  <c r="AH9" i="2"/>
  <c r="Q10" i="2"/>
  <c r="AA9" i="2"/>
  <c r="AB9" i="2" s="1"/>
  <c r="H11" i="2"/>
  <c r="J10" i="2"/>
  <c r="D11" i="2"/>
  <c r="F10" i="2"/>
  <c r="N8" i="2" l="1"/>
  <c r="O8" i="2" s="1"/>
  <c r="H41" i="7"/>
  <c r="I37" i="7"/>
  <c r="I33" i="7"/>
  <c r="I29" i="7"/>
  <c r="I40" i="7"/>
  <c r="I36" i="7"/>
  <c r="I32" i="7"/>
  <c r="I28" i="7"/>
  <c r="I39" i="7"/>
  <c r="I31" i="7"/>
  <c r="I35" i="7"/>
  <c r="I27" i="7"/>
  <c r="I38" i="7"/>
  <c r="I34" i="7"/>
  <c r="I30" i="7"/>
  <c r="J8" i="7"/>
  <c r="S41" i="7"/>
  <c r="U8" i="7"/>
  <c r="T39" i="7"/>
  <c r="T37" i="7"/>
  <c r="T35" i="7"/>
  <c r="T33" i="7"/>
  <c r="T31" i="7"/>
  <c r="T29" i="7"/>
  <c r="T27" i="7"/>
  <c r="T40" i="7"/>
  <c r="T38" i="7"/>
  <c r="T36" i="7"/>
  <c r="T34" i="7"/>
  <c r="T32" i="7"/>
  <c r="T30" i="7"/>
  <c r="T28" i="7"/>
  <c r="AH10" i="2"/>
  <c r="Q11" i="2"/>
  <c r="S10" i="2"/>
  <c r="T10" i="2" s="1"/>
  <c r="AA10" i="2"/>
  <c r="AB10" i="2" s="1"/>
  <c r="AE9" i="2"/>
  <c r="L10" i="2"/>
  <c r="W9" i="2"/>
  <c r="X9" i="2" s="1"/>
  <c r="N9" i="2"/>
  <c r="O9" i="2" s="1"/>
  <c r="F11" i="2"/>
  <c r="D12" i="2"/>
  <c r="F12" i="2" s="1"/>
  <c r="H12" i="2"/>
  <c r="J12" i="2" s="1"/>
  <c r="J11" i="2"/>
  <c r="J37" i="7" l="1"/>
  <c r="J33" i="7"/>
  <c r="J29" i="7"/>
  <c r="J36" i="7"/>
  <c r="J28" i="7"/>
  <c r="J40" i="7"/>
  <c r="J32" i="7"/>
  <c r="J39" i="7"/>
  <c r="J35" i="7"/>
  <c r="J31" i="7"/>
  <c r="J27" i="7"/>
  <c r="J38" i="7"/>
  <c r="J34" i="7"/>
  <c r="J30" i="7"/>
  <c r="K8" i="7"/>
  <c r="I41" i="7"/>
  <c r="F13" i="2"/>
  <c r="T41" i="7"/>
  <c r="U39" i="7"/>
  <c r="U37" i="7"/>
  <c r="U35" i="7"/>
  <c r="U33" i="7"/>
  <c r="U31" i="7"/>
  <c r="U29" i="7"/>
  <c r="U27" i="7"/>
  <c r="U40" i="7"/>
  <c r="U38" i="7"/>
  <c r="U36" i="7"/>
  <c r="U34" i="7"/>
  <c r="U32" i="7"/>
  <c r="U30" i="7"/>
  <c r="U28" i="7"/>
  <c r="V8" i="7"/>
  <c r="J13" i="2"/>
  <c r="AE10" i="2"/>
  <c r="L11" i="2"/>
  <c r="N10" i="2"/>
  <c r="O10" i="2" s="1"/>
  <c r="W10" i="2"/>
  <c r="X10" i="2" s="1"/>
  <c r="Q12" i="2"/>
  <c r="AH11" i="2"/>
  <c r="AA11" i="2"/>
  <c r="AB11" i="2" s="1"/>
  <c r="S11" i="2"/>
  <c r="T11" i="2" s="1"/>
  <c r="K40" i="7" l="1"/>
  <c r="K36" i="7"/>
  <c r="K32" i="7"/>
  <c r="K28" i="7"/>
  <c r="K39" i="7"/>
  <c r="K35" i="7"/>
  <c r="K31" i="7"/>
  <c r="K27" i="7"/>
  <c r="K34" i="7"/>
  <c r="K29" i="7"/>
  <c r="K38" i="7"/>
  <c r="K30" i="7"/>
  <c r="K37" i="7"/>
  <c r="K33" i="7"/>
  <c r="L8" i="7"/>
  <c r="J41" i="7"/>
  <c r="U41" i="7"/>
  <c r="V38" i="7"/>
  <c r="V34" i="7"/>
  <c r="V32" i="7"/>
  <c r="V30" i="7"/>
  <c r="V39" i="7"/>
  <c r="V37" i="7"/>
  <c r="V33" i="7"/>
  <c r="V36" i="7"/>
  <c r="V28" i="7"/>
  <c r="V31" i="7"/>
  <c r="V29" i="7"/>
  <c r="V40" i="7"/>
  <c r="V35" i="7"/>
  <c r="V27" i="7"/>
  <c r="W8" i="7"/>
  <c r="L12" i="2"/>
  <c r="AE11" i="2"/>
  <c r="W11" i="2"/>
  <c r="X11" i="2" s="1"/>
  <c r="N11" i="2"/>
  <c r="O11" i="2" s="1"/>
  <c r="AH12" i="2"/>
  <c r="Q13" i="2"/>
  <c r="AA12" i="2"/>
  <c r="AB12" i="2" s="1"/>
  <c r="S12" i="2"/>
  <c r="T12" i="2" s="1"/>
  <c r="L40" i="7" l="1"/>
  <c r="L36" i="7"/>
  <c r="L32" i="7"/>
  <c r="L28" i="7"/>
  <c r="L39" i="7"/>
  <c r="L35" i="7"/>
  <c r="L31" i="7"/>
  <c r="L27" i="7"/>
  <c r="L38" i="7"/>
  <c r="L34" i="7"/>
  <c r="L30" i="7"/>
  <c r="L37" i="7"/>
  <c r="L33" i="7"/>
  <c r="L29" i="7"/>
  <c r="K41" i="7"/>
  <c r="W40" i="7"/>
  <c r="X40" i="7" s="1"/>
  <c r="AA22" i="7" s="1"/>
  <c r="W38" i="7"/>
  <c r="X38" i="7" s="1"/>
  <c r="AA20" i="7" s="1"/>
  <c r="W36" i="7"/>
  <c r="X36" i="7" s="1"/>
  <c r="AA18" i="7" s="1"/>
  <c r="W34" i="7"/>
  <c r="W32" i="7"/>
  <c r="X32" i="7" s="1"/>
  <c r="AA14" i="7" s="1"/>
  <c r="W30" i="7"/>
  <c r="X30" i="7" s="1"/>
  <c r="AA12" i="7" s="1"/>
  <c r="W28" i="7"/>
  <c r="X28" i="7" s="1"/>
  <c r="AA10" i="7" s="1"/>
  <c r="W31" i="7"/>
  <c r="W27" i="7"/>
  <c r="W29" i="7"/>
  <c r="W39" i="7"/>
  <c r="W37" i="7"/>
  <c r="W35" i="7"/>
  <c r="W33" i="7"/>
  <c r="X33" i="7" s="1"/>
  <c r="AA15" i="7" s="1"/>
  <c r="V41" i="7"/>
  <c r="AA13" i="2"/>
  <c r="AB13" i="2" s="1"/>
  <c r="S13" i="2"/>
  <c r="T13" i="2" s="1"/>
  <c r="Q14" i="2"/>
  <c r="AH13" i="2"/>
  <c r="AE12" i="2"/>
  <c r="L13" i="2"/>
  <c r="W12" i="2"/>
  <c r="X12" i="2" s="1"/>
  <c r="N12" i="2"/>
  <c r="O12" i="2" s="1"/>
  <c r="L41" i="7" l="1"/>
  <c r="X31" i="7"/>
  <c r="AA13" i="7" s="1"/>
  <c r="X37" i="7"/>
  <c r="AA19" i="7" s="1"/>
  <c r="X35" i="7"/>
  <c r="AA17" i="7" s="1"/>
  <c r="X34" i="7"/>
  <c r="AA16" i="7" s="1"/>
  <c r="X39" i="7"/>
  <c r="AA21" i="7" s="1"/>
  <c r="X29" i="7"/>
  <c r="AA11" i="7" s="1"/>
  <c r="W41" i="7"/>
  <c r="D6" i="7" s="1"/>
  <c r="D4" i="1" s="1"/>
  <c r="X27" i="7"/>
  <c r="AH14" i="2"/>
  <c r="Q15" i="2"/>
  <c r="AA14" i="2"/>
  <c r="AB14" i="2" s="1"/>
  <c r="S14" i="2"/>
  <c r="T14" i="2" s="1"/>
  <c r="AE13" i="2"/>
  <c r="L14" i="2"/>
  <c r="W13" i="2"/>
  <c r="X13" i="2" s="1"/>
  <c r="N13" i="2"/>
  <c r="O13" i="2" s="1"/>
  <c r="AA23" i="7" l="1"/>
  <c r="D25" i="1" s="1"/>
  <c r="C25" i="1" s="1"/>
  <c r="D5" i="1"/>
  <c r="D6" i="1" s="1"/>
  <c r="W14" i="2"/>
  <c r="X14" i="2" s="1"/>
  <c r="AE14" i="2"/>
  <c r="L15" i="2"/>
  <c r="N14" i="2"/>
  <c r="O14" i="2" s="1"/>
  <c r="AH15" i="2"/>
  <c r="Q16" i="2"/>
  <c r="AA15" i="2"/>
  <c r="AB15" i="2" s="1"/>
  <c r="S15" i="2"/>
  <c r="T15" i="2" s="1"/>
  <c r="N15" i="2" l="1"/>
  <c r="O15" i="2" s="1"/>
  <c r="L16" i="2"/>
  <c r="AE15" i="2"/>
  <c r="W15" i="2"/>
  <c r="X15" i="2" s="1"/>
  <c r="Q17" i="2"/>
  <c r="AH16" i="2"/>
  <c r="AA16" i="2"/>
  <c r="AB16" i="2" s="1"/>
  <c r="S16" i="2"/>
  <c r="T16" i="2" s="1"/>
  <c r="L17" i="2" l="1"/>
  <c r="AE16" i="2"/>
  <c r="W16" i="2"/>
  <c r="X16" i="2" s="1"/>
  <c r="N16" i="2"/>
  <c r="O16" i="2" s="1"/>
  <c r="Q18" i="2"/>
  <c r="AA17" i="2"/>
  <c r="AB17" i="2" s="1"/>
  <c r="AH17" i="2"/>
  <c r="S17" i="2"/>
  <c r="T17" i="2" s="1"/>
  <c r="AH18" i="2" l="1"/>
  <c r="Q19" i="2"/>
  <c r="AA18" i="2"/>
  <c r="AB18" i="2" s="1"/>
  <c r="S18" i="2"/>
  <c r="T18" i="2" s="1"/>
  <c r="N17" i="2"/>
  <c r="O17" i="2" s="1"/>
  <c r="AE17" i="2"/>
  <c r="L18" i="2"/>
  <c r="W17" i="2"/>
  <c r="X17" i="2" s="1"/>
  <c r="AE18" i="2" l="1"/>
  <c r="L19" i="2"/>
  <c r="W18" i="2"/>
  <c r="X18" i="2" s="1"/>
  <c r="N18" i="2"/>
  <c r="O18" i="2" s="1"/>
  <c r="Q20" i="2"/>
  <c r="AH19" i="2"/>
  <c r="AA19" i="2"/>
  <c r="AB19" i="2" s="1"/>
  <c r="S19" i="2"/>
  <c r="T19" i="2" s="1"/>
  <c r="AH20" i="2" l="1"/>
  <c r="Q21" i="2"/>
  <c r="AA20" i="2"/>
  <c r="AB20" i="2" s="1"/>
  <c r="S20" i="2"/>
  <c r="T20" i="2" s="1"/>
  <c r="W19" i="2"/>
  <c r="X19" i="2" s="1"/>
  <c r="N19" i="2"/>
  <c r="O19" i="2" s="1"/>
  <c r="AE19" i="2"/>
  <c r="L20" i="2"/>
  <c r="L21" i="2" l="1"/>
  <c r="AE20" i="2"/>
  <c r="W20" i="2"/>
  <c r="X20" i="2" s="1"/>
  <c r="N20" i="2"/>
  <c r="O20" i="2" s="1"/>
  <c r="AH21" i="2"/>
  <c r="AA21" i="2"/>
  <c r="AB21" i="2" s="1"/>
  <c r="S21" i="2"/>
  <c r="T21" i="2" s="1"/>
  <c r="Q22" i="2"/>
  <c r="Q23" i="2" l="1"/>
  <c r="AH22" i="2"/>
  <c r="S22" i="2"/>
  <c r="T22" i="2" s="1"/>
  <c r="AA22" i="2"/>
  <c r="AB22" i="2" s="1"/>
  <c r="AE21" i="2"/>
  <c r="L22" i="2"/>
  <c r="W21" i="2"/>
  <c r="X21" i="2" s="1"/>
  <c r="N21" i="2"/>
  <c r="O21" i="2" s="1"/>
  <c r="L23" i="2" l="1"/>
  <c r="AE22" i="2"/>
  <c r="W22" i="2"/>
  <c r="X22" i="2" s="1"/>
  <c r="N22" i="2"/>
  <c r="O22" i="2" s="1"/>
  <c r="Q24" i="2"/>
  <c r="AA23" i="2"/>
  <c r="AB23" i="2" s="1"/>
  <c r="AH23" i="2"/>
  <c r="S23" i="2"/>
  <c r="T23" i="2" s="1"/>
  <c r="AH24" i="2" l="1"/>
  <c r="Q25" i="2"/>
  <c r="AA24" i="2"/>
  <c r="AB24" i="2" s="1"/>
  <c r="S24" i="2"/>
  <c r="T24" i="2" s="1"/>
  <c r="AE23" i="2"/>
  <c r="L24" i="2"/>
  <c r="N23" i="2"/>
  <c r="O23" i="2" s="1"/>
  <c r="W23" i="2"/>
  <c r="X23" i="2" s="1"/>
  <c r="L25" i="2" l="1"/>
  <c r="AE24" i="2"/>
  <c r="W24" i="2"/>
  <c r="X24" i="2" s="1"/>
  <c r="N24" i="2"/>
  <c r="O24" i="2" s="1"/>
  <c r="Q26" i="2"/>
  <c r="AH25" i="2"/>
  <c r="S25" i="2"/>
  <c r="T25" i="2" s="1"/>
  <c r="AA25" i="2"/>
  <c r="AB25" i="2" s="1"/>
  <c r="Q27" i="2" l="1"/>
  <c r="AH26" i="2"/>
  <c r="AA26" i="2"/>
  <c r="AB26" i="2" s="1"/>
  <c r="S26" i="2"/>
  <c r="T26" i="2" s="1"/>
  <c r="AE25" i="2"/>
  <c r="L26" i="2"/>
  <c r="W25" i="2"/>
  <c r="X25" i="2" s="1"/>
  <c r="N25" i="2"/>
  <c r="O25" i="2" s="1"/>
  <c r="L27" i="2" l="1"/>
  <c r="AE26" i="2"/>
  <c r="W26" i="2"/>
  <c r="X26" i="2" s="1"/>
  <c r="N26" i="2"/>
  <c r="O26" i="2" s="1"/>
  <c r="Q28" i="2"/>
  <c r="AA27" i="2"/>
  <c r="AB27" i="2" s="1"/>
  <c r="S27" i="2"/>
  <c r="T27" i="2" s="1"/>
  <c r="AH27" i="2"/>
  <c r="S28" i="2" l="1"/>
  <c r="T28" i="2" s="1"/>
  <c r="Q29" i="2"/>
  <c r="AH28" i="2"/>
  <c r="AA28" i="2"/>
  <c r="AB28" i="2" s="1"/>
  <c r="L28" i="2"/>
  <c r="W27" i="2"/>
  <c r="X27" i="2" s="1"/>
  <c r="N27" i="2"/>
  <c r="O27" i="2" s="1"/>
  <c r="AE27" i="2"/>
  <c r="AA29" i="2" l="1"/>
  <c r="AB29" i="2" s="1"/>
  <c r="S29" i="2"/>
  <c r="T29" i="2" s="1"/>
  <c r="AH29" i="2"/>
  <c r="Q30" i="2"/>
  <c r="L29" i="2"/>
  <c r="AE28" i="2"/>
  <c r="W28" i="2"/>
  <c r="X28" i="2" s="1"/>
  <c r="N28" i="2"/>
  <c r="O28" i="2" s="1"/>
  <c r="AH30" i="2" l="1"/>
  <c r="Q31" i="2"/>
  <c r="AA30" i="2"/>
  <c r="AB30" i="2" s="1"/>
  <c r="S30" i="2"/>
  <c r="T30" i="2" s="1"/>
  <c r="AE29" i="2"/>
  <c r="W29" i="2"/>
  <c r="X29" i="2" s="1"/>
  <c r="N29" i="2"/>
  <c r="O29" i="2" s="1"/>
  <c r="L30" i="2"/>
  <c r="AH31" i="2" l="1"/>
  <c r="AA31" i="2"/>
  <c r="AB31" i="2" s="1"/>
  <c r="Q32" i="2"/>
  <c r="S31" i="2"/>
  <c r="T31" i="2" s="1"/>
  <c r="L31" i="2"/>
  <c r="AE30" i="2"/>
  <c r="W30" i="2"/>
  <c r="X30" i="2" s="1"/>
  <c r="N30" i="2"/>
  <c r="O30" i="2" s="1"/>
  <c r="AH32" i="2" l="1"/>
  <c r="AA32" i="2"/>
  <c r="AB32" i="2" s="1"/>
  <c r="Q33" i="2"/>
  <c r="S32" i="2"/>
  <c r="T32" i="2" s="1"/>
  <c r="AE31" i="2"/>
  <c r="L32" i="2"/>
  <c r="W31" i="2"/>
  <c r="X31" i="2" s="1"/>
  <c r="N31" i="2"/>
  <c r="O31" i="2" s="1"/>
  <c r="Q34" i="2" l="1"/>
  <c r="AH33" i="2"/>
  <c r="AA33" i="2"/>
  <c r="AB33" i="2" s="1"/>
  <c r="S33" i="2"/>
  <c r="T33" i="2" s="1"/>
  <c r="L33" i="2"/>
  <c r="AE32" i="2"/>
  <c r="B29" i="2" s="1"/>
  <c r="O23" i="4" s="1"/>
  <c r="W32" i="2"/>
  <c r="X32" i="2" s="1"/>
  <c r="B26" i="2" s="1"/>
  <c r="C16" i="6" s="1"/>
  <c r="N32" i="2"/>
  <c r="O32" i="2" s="1"/>
  <c r="L70" i="4" l="1"/>
  <c r="L90" i="4"/>
  <c r="M51" i="3"/>
  <c r="D14" i="1" s="1"/>
  <c r="C14" i="1" s="1"/>
  <c r="F48" i="4"/>
  <c r="D17" i="1" s="1"/>
  <c r="C17" i="1" s="1"/>
  <c r="M36" i="3"/>
  <c r="D13" i="1" s="1"/>
  <c r="C13" i="1" s="1"/>
  <c r="B19" i="2"/>
  <c r="D24" i="1"/>
  <c r="C24" i="1" s="1"/>
  <c r="D16" i="1"/>
  <c r="C16" i="1" s="1"/>
  <c r="AE33" i="2"/>
  <c r="W33" i="2"/>
  <c r="X33" i="2" s="1"/>
  <c r="N33" i="2"/>
  <c r="O33" i="2" s="1"/>
  <c r="L34" i="2"/>
  <c r="Q35" i="2"/>
  <c r="AA34" i="2"/>
  <c r="AB34" i="2" s="1"/>
  <c r="AH34" i="2"/>
  <c r="S34" i="2"/>
  <c r="T34" i="2" s="1"/>
  <c r="E41" i="5" l="1"/>
  <c r="D22" i="1" s="1"/>
  <c r="C22" i="1" s="1"/>
  <c r="F41" i="5"/>
  <c r="C41" i="5"/>
  <c r="D19" i="1" s="1"/>
  <c r="C19" i="1" s="1"/>
  <c r="D41" i="5"/>
  <c r="D21" i="1" s="1"/>
  <c r="C21" i="1" s="1"/>
  <c r="M23" i="3"/>
  <c r="D12" i="1" s="1"/>
  <c r="C12" i="1" s="1"/>
  <c r="C38" i="4"/>
  <c r="D10" i="1"/>
  <c r="C10" i="1" s="1"/>
  <c r="Q36" i="2"/>
  <c r="AH35" i="2"/>
  <c r="AA35" i="2"/>
  <c r="AB35" i="2" s="1"/>
  <c r="S35" i="2"/>
  <c r="T35" i="2" s="1"/>
  <c r="W34" i="2"/>
  <c r="X34" i="2" s="1"/>
  <c r="N34" i="2"/>
  <c r="O34" i="2" s="1"/>
  <c r="L35" i="2"/>
  <c r="AE34" i="2"/>
  <c r="D35" i="1" l="1"/>
  <c r="L36" i="2"/>
  <c r="AE35" i="2"/>
  <c r="W35" i="2"/>
  <c r="X35" i="2" s="1"/>
  <c r="N35" i="2"/>
  <c r="O35" i="2" s="1"/>
  <c r="D26" i="1"/>
  <c r="S36" i="2"/>
  <c r="T36" i="2" s="1"/>
  <c r="AH36" i="2"/>
  <c r="Q37" i="2"/>
  <c r="AA36" i="2"/>
  <c r="AB36" i="2" s="1"/>
  <c r="C26" i="1" l="1"/>
  <c r="F6" i="1"/>
  <c r="AA37" i="2"/>
  <c r="AB37" i="2" s="1"/>
  <c r="Q38" i="2"/>
  <c r="S37" i="2"/>
  <c r="T37" i="2" s="1"/>
  <c r="AH37" i="2"/>
  <c r="D29" i="1"/>
  <c r="D32" i="1"/>
  <c r="L37" i="2"/>
  <c r="W36" i="2"/>
  <c r="X36" i="2" s="1"/>
  <c r="N36" i="2"/>
  <c r="O36" i="2" s="1"/>
  <c r="AE36" i="2"/>
  <c r="L38" i="2" l="1"/>
  <c r="AE37" i="2"/>
  <c r="W37" i="2"/>
  <c r="X37" i="2" s="1"/>
  <c r="N37" i="2"/>
  <c r="O37" i="2" s="1"/>
  <c r="S38" i="2"/>
  <c r="T38" i="2" s="1"/>
  <c r="AA38" i="2"/>
  <c r="AB38" i="2" s="1"/>
  <c r="Q39" i="2"/>
  <c r="AH38" i="2"/>
  <c r="AA39" i="2" l="1"/>
  <c r="AB39" i="2" s="1"/>
  <c r="S39" i="2"/>
  <c r="T39" i="2" s="1"/>
  <c r="Q40" i="2"/>
  <c r="AH39" i="2"/>
  <c r="AE38" i="2"/>
  <c r="W38" i="2"/>
  <c r="X38" i="2" s="1"/>
  <c r="L39" i="2"/>
  <c r="N38" i="2"/>
  <c r="O38" i="2" s="1"/>
  <c r="AE39" i="2" l="1"/>
  <c r="L40" i="2"/>
  <c r="W39" i="2"/>
  <c r="X39" i="2" s="1"/>
  <c r="N39" i="2"/>
  <c r="O39" i="2" s="1"/>
  <c r="Q41" i="2"/>
  <c r="AH40" i="2"/>
  <c r="AA40" i="2"/>
  <c r="AB40" i="2" s="1"/>
  <c r="S40" i="2"/>
  <c r="T40" i="2" s="1"/>
  <c r="AE40" i="2" l="1"/>
  <c r="L41" i="2"/>
  <c r="W40" i="2"/>
  <c r="X40" i="2" s="1"/>
  <c r="N40" i="2"/>
  <c r="O40" i="2" s="1"/>
  <c r="AH41" i="2"/>
  <c r="AA41" i="2"/>
  <c r="AB41" i="2" s="1"/>
  <c r="S41" i="2"/>
  <c r="T41" i="2" s="1"/>
  <c r="Q42" i="2"/>
  <c r="AH42" i="2" l="1"/>
  <c r="AA42" i="2"/>
  <c r="AB42" i="2" s="1"/>
  <c r="S42" i="2"/>
  <c r="T42" i="2" s="1"/>
  <c r="Q43" i="2"/>
  <c r="AE41" i="2"/>
  <c r="L42" i="2"/>
  <c r="W41" i="2"/>
  <c r="X41" i="2" s="1"/>
  <c r="N41" i="2"/>
  <c r="O41" i="2" s="1"/>
  <c r="Q44" i="2" l="1"/>
  <c r="AH43" i="2"/>
  <c r="AA43" i="2"/>
  <c r="AB43" i="2" s="1"/>
  <c r="S43" i="2"/>
  <c r="T43" i="2" s="1"/>
  <c r="N42" i="2"/>
  <c r="O42" i="2" s="1"/>
  <c r="W42" i="2"/>
  <c r="X42" i="2" s="1"/>
  <c r="AE42" i="2"/>
  <c r="L43" i="2"/>
  <c r="W43" i="2" l="1"/>
  <c r="X43" i="2" s="1"/>
  <c r="N43" i="2"/>
  <c r="O43" i="2" s="1"/>
  <c r="AE43" i="2"/>
  <c r="L44" i="2"/>
  <c r="Q45" i="2"/>
  <c r="AH44" i="2"/>
  <c r="S44" i="2"/>
  <c r="T44" i="2" s="1"/>
  <c r="AA44" i="2"/>
  <c r="AB44" i="2" s="1"/>
  <c r="N44" i="2" l="1"/>
  <c r="O44" i="2" s="1"/>
  <c r="AE44" i="2"/>
  <c r="L45" i="2"/>
  <c r="W44" i="2"/>
  <c r="X44" i="2" s="1"/>
  <c r="AH45" i="2"/>
  <c r="Q46" i="2"/>
  <c r="AA45" i="2"/>
  <c r="AB45" i="2" s="1"/>
  <c r="S45" i="2"/>
  <c r="T45" i="2" s="1"/>
  <c r="W45" i="2" l="1"/>
  <c r="X45" i="2" s="1"/>
  <c r="N45" i="2"/>
  <c r="O45" i="2" s="1"/>
  <c r="AE45" i="2"/>
  <c r="L46" i="2"/>
  <c r="AH46" i="2"/>
  <c r="Q47" i="2"/>
  <c r="AA46" i="2"/>
  <c r="AB46" i="2" s="1"/>
  <c r="S46" i="2"/>
  <c r="T46" i="2" s="1"/>
  <c r="L47" i="2" l="1"/>
  <c r="AE46" i="2"/>
  <c r="W46" i="2"/>
  <c r="X46" i="2" s="1"/>
  <c r="N46" i="2"/>
  <c r="O46" i="2" s="1"/>
  <c r="AH47" i="2"/>
  <c r="Q48" i="2"/>
  <c r="AA47" i="2"/>
  <c r="AB47" i="2" s="1"/>
  <c r="S47" i="2"/>
  <c r="T47" i="2" s="1"/>
  <c r="AH48" i="2" l="1"/>
  <c r="Q49" i="2"/>
  <c r="S48" i="2"/>
  <c r="T48" i="2" s="1"/>
  <c r="AA48" i="2"/>
  <c r="AB48" i="2" s="1"/>
  <c r="AE47" i="2"/>
  <c r="W47" i="2"/>
  <c r="X47" i="2" s="1"/>
  <c r="N47" i="2"/>
  <c r="O47" i="2" s="1"/>
  <c r="L48" i="2"/>
  <c r="AE48" i="2" l="1"/>
  <c r="W48" i="2"/>
  <c r="X48" i="2" s="1"/>
  <c r="N48" i="2"/>
  <c r="O48" i="2" s="1"/>
  <c r="L49" i="2"/>
  <c r="Q50" i="2"/>
  <c r="S49" i="2"/>
  <c r="T49" i="2" s="1"/>
  <c r="AH49" i="2"/>
  <c r="AA49" i="2"/>
  <c r="AB49" i="2" s="1"/>
  <c r="L50" i="2" l="1"/>
  <c r="AE49" i="2"/>
  <c r="W49" i="2"/>
  <c r="X49" i="2" s="1"/>
  <c r="N49" i="2"/>
  <c r="O49" i="2" s="1"/>
  <c r="AH50" i="2"/>
  <c r="Q51" i="2"/>
  <c r="AA50" i="2"/>
  <c r="AB50" i="2" s="1"/>
  <c r="S50" i="2"/>
  <c r="T50" i="2" s="1"/>
  <c r="AH51" i="2" l="1"/>
  <c r="AA51" i="2"/>
  <c r="AB51" i="2" s="1"/>
  <c r="Q52" i="2"/>
  <c r="S51" i="2"/>
  <c r="T51" i="2" s="1"/>
  <c r="L51" i="2"/>
  <c r="AE50" i="2"/>
  <c r="N50" i="2"/>
  <c r="O50" i="2" s="1"/>
  <c r="W50" i="2"/>
  <c r="X50" i="2" s="1"/>
  <c r="AH52" i="2" l="1"/>
  <c r="AA52" i="2"/>
  <c r="AB52" i="2" s="1"/>
  <c r="Q53" i="2"/>
  <c r="S52" i="2"/>
  <c r="T52" i="2" s="1"/>
  <c r="AE51" i="2"/>
  <c r="L52" i="2"/>
  <c r="W51" i="2"/>
  <c r="X51" i="2" s="1"/>
  <c r="N51" i="2"/>
  <c r="O51" i="2" s="1"/>
  <c r="AH53" i="2" l="1"/>
  <c r="Q54" i="2"/>
  <c r="AA53" i="2"/>
  <c r="AB53" i="2" s="1"/>
  <c r="S53" i="2"/>
  <c r="T53" i="2" s="1"/>
  <c r="AE52" i="2"/>
  <c r="L53" i="2"/>
  <c r="W52" i="2"/>
  <c r="X52" i="2" s="1"/>
  <c r="N52" i="2"/>
  <c r="O52" i="2" s="1"/>
  <c r="AH54" i="2" l="1"/>
  <c r="Q55" i="2"/>
  <c r="AA54" i="2"/>
  <c r="AB54" i="2" s="1"/>
  <c r="S54" i="2"/>
  <c r="T54" i="2" s="1"/>
  <c r="L54" i="2"/>
  <c r="AE53" i="2"/>
  <c r="W53" i="2"/>
  <c r="X53" i="2" s="1"/>
  <c r="N53" i="2"/>
  <c r="O53" i="2" s="1"/>
  <c r="AH55" i="2" l="1"/>
  <c r="Q56" i="2"/>
  <c r="AA55" i="2"/>
  <c r="AB55" i="2" s="1"/>
  <c r="S55" i="2"/>
  <c r="T55" i="2" s="1"/>
  <c r="L55" i="2"/>
  <c r="W54" i="2"/>
  <c r="X54" i="2" s="1"/>
  <c r="N54" i="2"/>
  <c r="O54" i="2" s="1"/>
  <c r="AE54" i="2"/>
  <c r="AH56" i="2" l="1"/>
  <c r="Q57" i="2"/>
  <c r="AA56" i="2"/>
  <c r="AB56" i="2" s="1"/>
  <c r="S56" i="2"/>
  <c r="T56" i="2" s="1"/>
  <c r="L56" i="2"/>
  <c r="AE55" i="2"/>
  <c r="W55" i="2"/>
  <c r="X55" i="2" s="1"/>
  <c r="N55" i="2"/>
  <c r="O55" i="2" s="1"/>
  <c r="AH57" i="2" l="1"/>
  <c r="S57" i="2"/>
  <c r="T57" i="2" s="1"/>
  <c r="Q58" i="2"/>
  <c r="AA57" i="2"/>
  <c r="AB57" i="2" s="1"/>
  <c r="AE56" i="2"/>
  <c r="L57" i="2"/>
  <c r="W56" i="2"/>
  <c r="X56" i="2" s="1"/>
  <c r="N56" i="2"/>
  <c r="O56" i="2" s="1"/>
  <c r="AH58" i="2" l="1"/>
  <c r="S58" i="2"/>
  <c r="T58" i="2" s="1"/>
  <c r="Q59" i="2"/>
  <c r="AA58" i="2"/>
  <c r="AB58" i="2" s="1"/>
  <c r="AE57" i="2"/>
  <c r="L58" i="2"/>
  <c r="W57" i="2"/>
  <c r="X57" i="2" s="1"/>
  <c r="N57" i="2"/>
  <c r="O57" i="2" s="1"/>
  <c r="Q60" i="2" l="1"/>
  <c r="AH59" i="2"/>
  <c r="AA59" i="2"/>
  <c r="AB59" i="2" s="1"/>
  <c r="S59" i="2"/>
  <c r="T59" i="2" s="1"/>
  <c r="AE58" i="2"/>
  <c r="N58" i="2"/>
  <c r="O58" i="2" s="1"/>
  <c r="L59" i="2"/>
  <c r="W58" i="2"/>
  <c r="X58" i="2" s="1"/>
  <c r="AE59" i="2" l="1"/>
  <c r="L60" i="2"/>
  <c r="W59" i="2"/>
  <c r="X59" i="2" s="1"/>
  <c r="N59" i="2"/>
  <c r="O59" i="2" s="1"/>
  <c r="Q61" i="2"/>
  <c r="AH60" i="2"/>
  <c r="S60" i="2"/>
  <c r="T60" i="2" s="1"/>
  <c r="AA60" i="2"/>
  <c r="AB60" i="2" s="1"/>
  <c r="AE60" i="2" l="1"/>
  <c r="L61" i="2"/>
  <c r="W60" i="2"/>
  <c r="X60" i="2" s="1"/>
  <c r="N60" i="2"/>
  <c r="O60" i="2" s="1"/>
  <c r="AH61" i="2"/>
  <c r="Q62" i="2"/>
  <c r="AA61" i="2"/>
  <c r="AB61" i="2" s="1"/>
  <c r="S61" i="2"/>
  <c r="T61" i="2" s="1"/>
  <c r="AH62" i="2" l="1"/>
  <c r="AA62" i="2"/>
  <c r="AB62" i="2" s="1"/>
  <c r="S62" i="2"/>
  <c r="T62" i="2" s="1"/>
  <c r="AE61" i="2"/>
  <c r="L62" i="2"/>
  <c r="N61" i="2"/>
  <c r="O61" i="2" s="1"/>
  <c r="W61" i="2"/>
  <c r="X61" i="2" s="1"/>
  <c r="AE62" i="2" l="1"/>
  <c r="W62" i="2"/>
  <c r="X62" i="2" s="1"/>
  <c r="N62" i="2"/>
  <c r="O62" i="2" s="1"/>
  <c r="N39" i="5"/>
  <c r="N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tc={7FBBA77F-CB7A-4397-B6B2-08B57B2F796D}</author>
  </authors>
  <commentList>
    <comment ref="A24" authorId="0" shapeId="0" xr:uid="{7FBBA77F-CB7A-4397-B6B2-08B57B2F796D}">
      <text>
        <t>[Kommenttiketju]
Excel-versiosi avulla voit lukea tämän kommenttiketjun, mutta siihen tehdyt muutokset poistetaan, jos tiedosto avataan uudemmassa Excel-versiossa. Lisätietoja: https://go.microsoft.com/fwlink/?linkid=870924
Kommentti:
    RRI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<sst xmlns="http://schemas.openxmlformats.org/spreadsheetml/2006/main" count="1361" uniqueCount="270">
  <si>
    <t>KUSTANNUKSET</t>
  </si>
  <si>
    <t>M€</t>
  </si>
  <si>
    <t>Huom.: Vuoden 2023 eurot</t>
  </si>
  <si>
    <t>Investointikustannukset</t>
  </si>
  <si>
    <t>Rakentamisen aikainen korko</t>
  </si>
  <si>
    <t>Julkisten varojen rajakustannus (verokerroin)</t>
  </si>
  <si>
    <t>Kustannukset yhteensä</t>
  </si>
  <si>
    <t>HYÖDYT</t>
  </si>
  <si>
    <t>Väylänpitäjän kustannusmuutokset</t>
  </si>
  <si>
    <t xml:space="preserve">    Kunnossapitokustannukset</t>
  </si>
  <si>
    <t>Kuluttajan ylijäämä</t>
  </si>
  <si>
    <t xml:space="preserve">    Aikakustannukset</t>
  </si>
  <si>
    <t xml:space="preserve">    Ajoneuvokustannukset</t>
  </si>
  <si>
    <t xml:space="preserve">    Liput, verot ja maksut</t>
  </si>
  <si>
    <t>Tuottajan ylijäämä</t>
  </si>
  <si>
    <t xml:space="preserve">    Liikennöintikustannukset</t>
  </si>
  <si>
    <t xml:space="preserve">    Tulot liikennepalveluista</t>
  </si>
  <si>
    <t>Turvallisuusvaikutukset</t>
  </si>
  <si>
    <t xml:space="preserve">    Onnettomuuskustannukset</t>
  </si>
  <si>
    <t>Ympäristövaikutukset</t>
  </si>
  <si>
    <t xml:space="preserve">    Päästökustannukset</t>
  </si>
  <si>
    <t xml:space="preserve">    Melukustannukset</t>
  </si>
  <si>
    <t>Vaikutukset julkistalouteen</t>
  </si>
  <si>
    <t xml:space="preserve">    Vero-, maksu- ja muut tulot</t>
  </si>
  <si>
    <t>Investoinnin jäännösarvo</t>
  </si>
  <si>
    <t>Hyödyt yhteensä</t>
  </si>
  <si>
    <t>Nettohyöty</t>
  </si>
  <si>
    <t>Infrahankkeille</t>
  </si>
  <si>
    <r>
      <t>H/K</t>
    </r>
    <r>
      <rPr>
        <b/>
        <vertAlign val="subscript"/>
        <sz val="22"/>
        <color theme="1"/>
        <rFont val="Calibri"/>
        <family val="2"/>
        <scheme val="minor"/>
      </rPr>
      <t>i</t>
    </r>
  </si>
  <si>
    <t>Liikennöintimuutoksille</t>
  </si>
  <si>
    <r>
      <t>H/K</t>
    </r>
    <r>
      <rPr>
        <b/>
        <vertAlign val="subscript"/>
        <sz val="22"/>
        <color theme="1"/>
        <rFont val="Calibri"/>
        <family val="2"/>
        <scheme val="minor"/>
      </rPr>
      <t>ioy</t>
    </r>
  </si>
  <si>
    <t xml:space="preserve"> </t>
  </si>
  <si>
    <t>Investointi</t>
  </si>
  <si>
    <t>Hyödyt 1</t>
  </si>
  <si>
    <t>Hyödyt 2</t>
  </si>
  <si>
    <t>Ajokustannukset 1</t>
  </si>
  <si>
    <t>Ajokustannukset 2</t>
  </si>
  <si>
    <t>Muut kustannukset 1</t>
  </si>
  <si>
    <t>Muut kustannukset 2</t>
  </si>
  <si>
    <t>Diskonttausvuosi</t>
  </si>
  <si>
    <t>Vuosi</t>
  </si>
  <si>
    <t>Kustannus</t>
  </si>
  <si>
    <t>Diskontto</t>
  </si>
  <si>
    <t>Nimellinen</t>
  </si>
  <si>
    <t>Reaali</t>
  </si>
  <si>
    <t>Avausvuosi 1</t>
  </si>
  <si>
    <t>Ennustevuosi 1</t>
  </si>
  <si>
    <t>Avausvuosi 2</t>
  </si>
  <si>
    <t>Ennustevuosi 2</t>
  </si>
  <si>
    <t>Tarkastelujakso [vuotta]</t>
  </si>
  <si>
    <t>Laskentakorko</t>
  </si>
  <si>
    <t>Yksikköarvojen korko</t>
  </si>
  <si>
    <t>Verokerroin</t>
  </si>
  <si>
    <t>Vuosilaajennus</t>
  </si>
  <si>
    <t>Summa</t>
  </si>
  <si>
    <t>Hyötyindeksi ev 1</t>
  </si>
  <si>
    <t>Hyötyindeksi ev 2</t>
  </si>
  <si>
    <t>Hyötyjen kasvu</t>
  </si>
  <si>
    <t>Hyötykerroin ennuste 1</t>
  </si>
  <si>
    <t>Hyötykerroin ennuste 2</t>
  </si>
  <si>
    <t>Ajokustannusindeksi ev 1</t>
  </si>
  <si>
    <t>Ajokustannusindeksi ev 2</t>
  </si>
  <si>
    <t>Kustannusten kasvu</t>
  </si>
  <si>
    <t>Ajokustannuskerroin 1</t>
  </si>
  <si>
    <t>Ajokustannuskerroin 2</t>
  </si>
  <si>
    <t>Muu kustannuskerroin 1</t>
  </si>
  <si>
    <t>Muu kustannuskerroin 2</t>
  </si>
  <si>
    <t>Aikasäästön arvo</t>
  </si>
  <si>
    <t>Lähde: Väylävirasto yksikköarvot</t>
  </si>
  <si>
    <t>Henkilöauton keskikuormitus</t>
  </si>
  <si>
    <t>Työssäkäyntimatka</t>
  </si>
  <si>
    <t>Vapaa-ajan matka</t>
  </si>
  <si>
    <t>Työasiamatka</t>
  </si>
  <si>
    <t>Kuorma-auto</t>
  </si>
  <si>
    <t>Yhdistelmä</t>
  </si>
  <si>
    <t>Auto</t>
  </si>
  <si>
    <t>Joukkoliikenne (juna)</t>
  </si>
  <si>
    <t>Polkupyörä</t>
  </si>
  <si>
    <t>Uusi arvo 1,16 (Petr, LT23 kiertomatkat)</t>
  </si>
  <si>
    <t>Uusi arvo 1,399 kiertomatkojen mukaan</t>
  </si>
  <si>
    <t>Aikasäästöt</t>
  </si>
  <si>
    <t>Henkilöauto työ</t>
  </si>
  <si>
    <t>Henkilöauto vapaa-aika</t>
  </si>
  <si>
    <t>Joukkoliikenne työ</t>
  </si>
  <si>
    <t>Joukkoliikenne vapaa-aika</t>
  </si>
  <si>
    <t>Pyöräliikenne työ</t>
  </si>
  <si>
    <t>Pyöräliikenne vapaa-aika</t>
  </si>
  <si>
    <t>Pakettiauto</t>
  </si>
  <si>
    <t>Vanhat matkustajat</t>
  </si>
  <si>
    <t>Uudet matkustajat</t>
  </si>
  <si>
    <t>Summa nykyarvo</t>
  </si>
  <si>
    <t>Ajoneuvokustannussäästöt</t>
  </si>
  <si>
    <t>Tiemaksut ja lippumenot</t>
  </si>
  <si>
    <t>Ajoneuvokustannus: Taustataulukot / verot</t>
  </si>
  <si>
    <t>Euroa / km</t>
  </si>
  <si>
    <t>Veroton</t>
  </si>
  <si>
    <t>Vero</t>
  </si>
  <si>
    <t>Yhteensä</t>
  </si>
  <si>
    <t>Henkilöauto</t>
  </si>
  <si>
    <t>Linja-auto</t>
  </si>
  <si>
    <t>Ajoneuvoyhdistelmä</t>
  </si>
  <si>
    <t>Suoritemuutos</t>
  </si>
  <si>
    <t>Kustannus vero</t>
  </si>
  <si>
    <t>Kustannus veroton</t>
  </si>
  <si>
    <t>työmatkat</t>
  </si>
  <si>
    <t>Jakson (6-9, 9-15, 15-18) tuntiosuudet</t>
  </si>
  <si>
    <t>AHT</t>
  </si>
  <si>
    <t>päivä</t>
  </si>
  <si>
    <t>IHT</t>
  </si>
  <si>
    <t>Matka-aika [min]</t>
  </si>
  <si>
    <t>Yht</t>
  </si>
  <si>
    <t>Vuositasolla</t>
  </si>
  <si>
    <t>Etäisyys [km]</t>
  </si>
  <si>
    <t>Maksut [eur]</t>
  </si>
  <si>
    <t>vapaa-aika</t>
  </si>
  <si>
    <t>Joukkoliikenne</t>
  </si>
  <si>
    <t>Kuorma-autot</t>
  </si>
  <si>
    <t>Pakettiautot</t>
  </si>
  <si>
    <t>mitä halutaan kuvata, millä tarkkuudella</t>
  </si>
  <si>
    <t>komponentit auki, vertailut</t>
  </si>
  <si>
    <t>varikkojen käyttökustannukset tänne</t>
  </si>
  <si>
    <t>disclaimeriksi käyttäjille: ei operointikustannuksia suoraan täältä. Myös päätepysäkkiaika (kalustomäärä aliarvioitu)?</t>
  </si>
  <si>
    <t>Liikennöintikustannus</t>
  </si>
  <si>
    <t>kalibrointi joillain hankkeilla: linja 13, PR15? 1) ratikka ja metro 2) muut</t>
  </si>
  <si>
    <t>Laskentakaava:</t>
  </si>
  <si>
    <t>Liikennöinti</t>
  </si>
  <si>
    <t>Per liik-km</t>
  </si>
  <si>
    <t>Per liik-tunti</t>
  </si>
  <si>
    <t>Per asemavuosi</t>
  </si>
  <si>
    <t>Liik-km</t>
  </si>
  <si>
    <t>Liik-tuntia</t>
  </si>
  <si>
    <t>Asemaa</t>
  </si>
  <si>
    <t>Eur</t>
  </si>
  <si>
    <t>Liik-min</t>
  </si>
  <si>
    <t>Bussi</t>
  </si>
  <si>
    <t>Runkobussi</t>
  </si>
  <si>
    <t>Raitiovaunu</t>
  </si>
  <si>
    <t>Metro</t>
  </si>
  <si>
    <t>Lähijuna</t>
  </si>
  <si>
    <t xml:space="preserve">Korjauskerroin (KHI 23/18): </t>
  </si>
  <si>
    <t>2018</t>
  </si>
  <si>
    <t>Verot ja maksut</t>
  </si>
  <si>
    <t>Muutos veroissa</t>
  </si>
  <si>
    <t>Tulot liikennepalveluista / lipputulojen muutos</t>
  </si>
  <si>
    <t>vol_fac_work</t>
  </si>
  <si>
    <t>PAI</t>
  </si>
  <si>
    <t>vol_fac_leisure</t>
  </si>
  <si>
    <t>vol_fac</t>
  </si>
  <si>
    <t>Lipputulojen muutos</t>
  </si>
  <si>
    <t>Väylänpidon kustannukset</t>
  </si>
  <si>
    <t>Kuluminen</t>
  </si>
  <si>
    <t>Per ajo-km</t>
  </si>
  <si>
    <t>Ajo-km</t>
  </si>
  <si>
    <t>Tie, kevyet ajoneuvot</t>
  </si>
  <si>
    <t>Tie, raskaat ajoneuvot</t>
  </si>
  <si>
    <t xml:space="preserve">Yksikköarvot 2022, korjauskerroin (MAKU 23/22): </t>
  </si>
  <si>
    <t>Kunnossapitokustannukset</t>
  </si>
  <si>
    <t>Per tie-km vuodessa</t>
  </si>
  <si>
    <t>Tie-km</t>
  </si>
  <si>
    <t>Kunnossapito</t>
  </si>
  <si>
    <t>Moottoritie (vdf=1)</t>
  </si>
  <si>
    <t>Useampikaistainen (vdf=2,3)</t>
  </si>
  <si>
    <t>Muu tie tai katu (vdf=4,5)</t>
  </si>
  <si>
    <t>Junarata</t>
  </si>
  <si>
    <t>Metrorata</t>
  </si>
  <si>
    <t>Ratikkarata</t>
  </si>
  <si>
    <t>Päästöt</t>
  </si>
  <si>
    <t>Henkilövahingot</t>
  </si>
  <si>
    <t>Lähde: Onnettomuustilastoista / Tavoite ja mittarit excelistä</t>
  </si>
  <si>
    <t>Per km</t>
  </si>
  <si>
    <t>Taajama</t>
  </si>
  <si>
    <t>Haja-asutus</t>
  </si>
  <si>
    <t>– moottoritiet (vdf=1)</t>
  </si>
  <si>
    <t>– muut pääväylät eritasoliittymin (vdf=2)</t>
  </si>
  <si>
    <t>– useampikaistaiset pääkadut tasoliittymin (vdf=3)</t>
  </si>
  <si>
    <t>– muut pääkadut (vdf=4)</t>
  </si>
  <si>
    <t>– kokooja- ja tonttikadut (vdf=5)</t>
  </si>
  <si>
    <t>– muut väylät ja syötöt (vdf jokin muu)</t>
  </si>
  <si>
    <t>Eur/onn</t>
  </si>
  <si>
    <t>Melu</t>
  </si>
  <si>
    <t>Meluhaitta (eur/v/as)</t>
  </si>
  <si>
    <t>Kustannukset</t>
  </si>
  <si>
    <t>Onnettomuudet</t>
  </si>
  <si>
    <t>Suorite</t>
  </si>
  <si>
    <t>Moottoritie</t>
  </si>
  <si>
    <t>Muut pääväylät eritasoliittymin</t>
  </si>
  <si>
    <t>Useampikaistaiset pääkadut</t>
  </si>
  <si>
    <t>Muut pääkadut</t>
  </si>
  <si>
    <t>Kokooja- ja tonttikadut</t>
  </si>
  <si>
    <t>Muut väylät ja syötöt</t>
  </si>
  <si>
    <t>Meluvyöhykkeellä asuvat</t>
  </si>
  <si>
    <t>g/km</t>
  </si>
  <si>
    <t>eur/tonni</t>
  </si>
  <si>
    <t>eur/km</t>
  </si>
  <si>
    <t>NOx</t>
  </si>
  <si>
    <t>PM</t>
  </si>
  <si>
    <t>CO2</t>
  </si>
  <si>
    <t>Melutaso dB(A)</t>
  </si>
  <si>
    <t>Euroa/asukas/vuosi</t>
  </si>
  <si>
    <t>50-54</t>
  </si>
  <si>
    <t>55-59</t>
  </si>
  <si>
    <t>60-64</t>
  </si>
  <si>
    <t>65-69</t>
  </si>
  <si>
    <t>70-75</t>
  </si>
  <si>
    <t>"Käyttäjähyödyt välilehdeltä"</t>
  </si>
  <si>
    <t>Verot yhteensä = Joukkoliikenteen suorite-km * vero€-km + ajoneuvoliikenteen suoritteet-km*verot€-km</t>
  </si>
  <si>
    <t>vol_fac_car</t>
  </si>
  <si>
    <t>Polttoainevero</t>
  </si>
  <si>
    <t>Tuet, ostot ja muut menot</t>
  </si>
  <si>
    <t>Vienti vuotuiselle tasolle suunnitteluvuodelle.</t>
  </si>
  <si>
    <t>Jäännösosuus</t>
  </si>
  <si>
    <t>Jäännösarvo</t>
  </si>
  <si>
    <t>Hanke 1</t>
  </si>
  <si>
    <t>Hanke 2</t>
  </si>
  <si>
    <t>Hanke 3</t>
  </si>
  <si>
    <t>Hanke 4</t>
  </si>
  <si>
    <t>Hanke 5</t>
  </si>
  <si>
    <t>Hanke 6</t>
  </si>
  <si>
    <t>Hanke 7</t>
  </si>
  <si>
    <t>Hanke 8</t>
  </si>
  <si>
    <t>Hanke 9</t>
  </si>
  <si>
    <t>Hanke 10</t>
  </si>
  <si>
    <t>Hanke 11</t>
  </si>
  <si>
    <t>Hanke 12</t>
  </si>
  <si>
    <t>Hanke 13</t>
  </si>
  <si>
    <t>Hanke 14</t>
  </si>
  <si>
    <t>Diskonttaus</t>
  </si>
  <si>
    <t>Nykyhetki</t>
  </si>
  <si>
    <t>Henkilöauto/Veroton</t>
  </si>
  <si>
    <t>Henkilöauto/Vero</t>
  </si>
  <si>
    <t>Henkilöauto/Yhteensä</t>
  </si>
  <si>
    <t>Pakettiauto/Veroton</t>
  </si>
  <si>
    <t>Pakettiauto/Vero</t>
  </si>
  <si>
    <t>Pakettiauto/Yhteensä</t>
  </si>
  <si>
    <t>Linja-auto/Veroton</t>
  </si>
  <si>
    <t>Linja-auto/Vero</t>
  </si>
  <si>
    <t>Linja-auto/Yhteensä</t>
  </si>
  <si>
    <t>Kuorma-auto/Veroton</t>
  </si>
  <si>
    <t>Kuorma-auto/Vero</t>
  </si>
  <si>
    <t>Kuorma-auto/Yhteensä</t>
  </si>
  <si>
    <t>Ajoneuvoyhdistelmä/Veroton</t>
  </si>
  <si>
    <t>Ajoneuvoyhdistelmä/Vero</t>
  </si>
  <si>
    <t>Ajoneuvoyhdistelmä/Yhteensä</t>
  </si>
  <si>
    <t>Päästöt / taajama (eur/tonni)</t>
  </si>
  <si>
    <t>Päästöt / haja-asutus (eur/tonni)</t>
  </si>
  <si>
    <t>Yksikkökustannukset</t>
  </si>
  <si>
    <t>Matka-aikasäästöt</t>
  </si>
  <si>
    <t>Ajoneuvokustannus</t>
  </si>
  <si>
    <t>Yksikköpäästökertoimet</t>
  </si>
  <si>
    <t>Henkilöauto / taajama (g/km)</t>
  </si>
  <si>
    <t>Henkilöauto / haja-asutus (g/km)</t>
  </si>
  <si>
    <t>Pakettiauto / taajama (g/km)</t>
  </si>
  <si>
    <t>Pakettiauto / haja-asutus (g/km)</t>
  </si>
  <si>
    <t>Bussi / taajama (g/km)</t>
  </si>
  <si>
    <t>Bussi / haja-asutus (g/km)</t>
  </si>
  <si>
    <t>Kuorma-auto / taajama (g/km)</t>
  </si>
  <si>
    <t>Kuorma-auto / haja-asutus (g/km)</t>
  </si>
  <si>
    <t>Yhdistelmä / taajama (g/km)</t>
  </si>
  <si>
    <t>Yhdistelmä / haja-asutus (g/km)</t>
  </si>
  <si>
    <t>PEIKKO</t>
  </si>
  <si>
    <t>Onnettomuuksien vähenemiskerroin</t>
  </si>
  <si>
    <t>Päästöt eur/km</t>
  </si>
  <si>
    <t>Nykyhetki-avausvuosi 1</t>
  </si>
  <si>
    <t>50-54 dB(A)</t>
  </si>
  <si>
    <t>55-59 dB(A)</t>
  </si>
  <si>
    <t>60-64 dB/A)</t>
  </si>
  <si>
    <t>65-69 dB(A)</t>
  </si>
  <si>
    <t>Melutaso</t>
  </si>
  <si>
    <t>Melukustannus</t>
  </si>
  <si>
    <t>70-75 dB(A)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</si>
</sst>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 %"/>
    <numFmt numFmtId="165" formatCode="0.000"/>
    <numFmt numFmtId="166" formatCode="0.0000"/>
    <numFmt numFmtId="167" formatCode="0.0"/>
    <numFmt numFmtId="168" formatCode="0.0%"/>
    <numFmt numFmtId="169" formatCode="0.000000"/>
    <numFmt numFmtId="170" formatCode="0.###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vertAlign val="subscript"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D9D9D9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0" fontId="10" fillId="9" borderId="69" applyNumberFormat="0" applyFont="0" applyAlignment="0" applyProtection="0"/>
  </cellStyleXfs>
  <cellXfs count="330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4" xfId="0" applyBorder="1"/>
    <xf numFmtId="0" fontId="0" fillId="0" borderId="5" xfId="0" applyBorder="1"/>
    <xf numFmtId="1" fontId="0" fillId="0" borderId="1" xfId="0" applyNumberFormat="1" applyBorder="1"/>
    <xf numFmtId="0" fontId="3" fillId="0" borderId="0" xfId="0" applyFont="1"/>
    <xf numFmtId="165" fontId="0" fillId="0" borderId="0" xfId="0" applyNumberFormat="1"/>
    <xf numFmtId="0" fontId="4" fillId="0" borderId="0" xfId="1"/>
    <xf numFmtId="0" fontId="0" fillId="0" borderId="21" xfId="0" applyBorder="1"/>
    <xf numFmtId="0" fontId="0" fillId="0" borderId="22" xfId="0" applyBorder="1"/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13" xfId="0" applyBorder="1" applyAlignment="1">
      <alignment horizontal="center"/>
    </xf>
    <xf numFmtId="0" fontId="0" fillId="0" borderId="24" xfId="0" applyBorder="1"/>
    <xf numFmtId="0" fontId="1" fillId="0" borderId="11" xfId="0" applyFont="1" applyBorder="1"/>
    <xf numFmtId="0" fontId="0" fillId="0" borderId="29" xfId="0" applyBorder="1"/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30" xfId="0" applyBorder="1"/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4" xfId="0" applyBorder="1"/>
    <xf numFmtId="0" fontId="0" fillId="0" borderId="23" xfId="0" applyBorder="1"/>
    <xf numFmtId="0" fontId="5" fillId="0" borderId="0" xfId="0" applyFont="1"/>
    <xf numFmtId="0" fontId="6" fillId="0" borderId="0" xfId="0" applyFont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6" xfId="0" applyBorder="1"/>
    <xf numFmtId="0" fontId="0" fillId="0" borderId="20" xfId="0" applyBorder="1"/>
    <xf numFmtId="0" fontId="1" fillId="0" borderId="35" xfId="0" applyFont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" fillId="0" borderId="39" xfId="0" applyFont="1" applyBorder="1"/>
    <xf numFmtId="0" fontId="0" fillId="0" borderId="33" xfId="0" applyBorder="1"/>
    <xf numFmtId="0" fontId="0" fillId="0" borderId="41" xfId="0" applyBorder="1"/>
    <xf numFmtId="0" fontId="0" fillId="0" borderId="42" xfId="0" applyBorder="1"/>
    <xf numFmtId="167" fontId="0" fillId="0" borderId="0" xfId="0" applyNumberFormat="1"/>
    <xf numFmtId="1" fontId="0" fillId="0" borderId="7" xfId="0" applyNumberFormat="1" applyBorder="1"/>
    <xf numFmtId="0" fontId="0" fillId="0" borderId="45" xfId="0" applyBorder="1"/>
    <xf numFmtId="0" fontId="0" fillId="0" borderId="46" xfId="0" applyBorder="1"/>
    <xf numFmtId="0" fontId="0" fillId="0" borderId="35" xfId="0" applyBorder="1"/>
    <xf numFmtId="3" fontId="0" fillId="0" borderId="16" xfId="0" applyNumberFormat="1" applyBorder="1"/>
    <xf numFmtId="3" fontId="0" fillId="0" borderId="40" xfId="0" applyNumberFormat="1" applyBorder="1"/>
    <xf numFmtId="3" fontId="0" fillId="0" borderId="18" xfId="0" applyNumberFormat="1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0" fontId="0" fillId="0" borderId="54" xfId="0" applyBorder="1"/>
    <xf numFmtId="0" fontId="1" fillId="0" borderId="42" xfId="0" applyFont="1" applyBorder="1"/>
    <xf numFmtId="0" fontId="1" fillId="0" borderId="21" xfId="0" applyFont="1" applyBorder="1"/>
    <xf numFmtId="0" fontId="0" fillId="0" borderId="56" xfId="0" applyBorder="1"/>
    <xf numFmtId="3" fontId="0" fillId="0" borderId="51" xfId="0" applyNumberFormat="1" applyBorder="1"/>
    <xf numFmtId="0" fontId="0" fillId="0" borderId="22" xfId="0" applyBorder="1" applyAlignment="1">
      <alignment horizontal="center"/>
    </xf>
    <xf numFmtId="0" fontId="0" fillId="0" borderId="59" xfId="0" applyBorder="1"/>
    <xf numFmtId="3" fontId="0" fillId="0" borderId="54" xfId="0" applyNumberFormat="1" applyBorder="1"/>
    <xf numFmtId="0" fontId="0" fillId="0" borderId="61" xfId="0" applyBorder="1"/>
    <xf numFmtId="3" fontId="0" fillId="0" borderId="60" xfId="0" applyNumberFormat="1" applyBorder="1"/>
    <xf numFmtId="3" fontId="0" fillId="0" borderId="11" xfId="0" applyNumberFormat="1" applyBorder="1"/>
    <xf numFmtId="1" fontId="0" fillId="0" borderId="50" xfId="0" applyNumberFormat="1" applyBorder="1"/>
    <xf numFmtId="1" fontId="0" fillId="0" borderId="62" xfId="0" applyNumberFormat="1" applyBorder="1"/>
    <xf numFmtId="2" fontId="7" fillId="0" borderId="11" xfId="0" applyNumberFormat="1" applyFont="1" applyBorder="1" applyAlignment="1">
      <alignment horizontal="center"/>
    </xf>
    <xf numFmtId="0" fontId="1" fillId="0" borderId="14" xfId="0" applyFont="1" applyBorder="1"/>
    <xf numFmtId="0" fontId="0" fillId="0" borderId="11" xfId="0" applyBorder="1"/>
    <xf numFmtId="0" fontId="9" fillId="0" borderId="0" xfId="0" applyFont="1"/>
    <xf numFmtId="0" fontId="0" fillId="0" borderId="63" xfId="0" applyBorder="1"/>
    <xf numFmtId="0" fontId="0" fillId="0" borderId="64" xfId="0" applyBorder="1"/>
    <xf numFmtId="0" fontId="0" fillId="0" borderId="65" xfId="0" applyBorder="1"/>
    <xf numFmtId="3" fontId="0" fillId="0" borderId="0" xfId="0" applyNumberFormat="1"/>
    <xf numFmtId="3" fontId="0" fillId="0" borderId="17" xfId="0" applyNumberFormat="1" applyBorder="1"/>
    <xf numFmtId="1" fontId="0" fillId="0" borderId="57" xfId="0" applyNumberFormat="1" applyBorder="1"/>
    <xf numFmtId="1" fontId="0" fillId="0" borderId="0" xfId="0" applyNumberFormat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2" xfId="0" applyNumberFormat="1" applyBorder="1"/>
    <xf numFmtId="3" fontId="0" fillId="0" borderId="14" xfId="0" applyNumberFormat="1" applyBorder="1"/>
    <xf numFmtId="3" fontId="0" fillId="0" borderId="10" xfId="0" applyNumberFormat="1" applyBorder="1"/>
    <xf numFmtId="3" fontId="0" fillId="0" borderId="33" xfId="0" applyNumberFormat="1" applyBorder="1"/>
    <xf numFmtId="3" fontId="0" fillId="0" borderId="35" xfId="0" applyNumberFormat="1" applyBorder="1"/>
    <xf numFmtId="3" fontId="0" fillId="0" borderId="36" xfId="0" applyNumberFormat="1" applyBorder="1"/>
    <xf numFmtId="0" fontId="0" fillId="2" borderId="0" xfId="0" applyFill="1"/>
    <xf numFmtId="0" fontId="9" fillId="2" borderId="0" xfId="0" applyFont="1" applyFill="1"/>
    <xf numFmtId="3" fontId="0" fillId="4" borderId="7" xfId="0" applyNumberFormat="1" applyFill="1" applyBorder="1"/>
    <xf numFmtId="3" fontId="0" fillId="4" borderId="51" xfId="0" applyNumberFormat="1" applyFill="1" applyBorder="1"/>
    <xf numFmtId="3" fontId="1" fillId="4" borderId="19" xfId="0" applyNumberFormat="1" applyFont="1" applyFill="1" applyBorder="1"/>
    <xf numFmtId="3" fontId="1" fillId="4" borderId="54" xfId="0" applyNumberFormat="1" applyFont="1" applyFill="1" applyBorder="1"/>
    <xf numFmtId="3" fontId="0" fillId="4" borderId="35" xfId="0" applyNumberFormat="1" applyFill="1" applyBorder="1"/>
    <xf numFmtId="3" fontId="0" fillId="4" borderId="54" xfId="0" applyNumberFormat="1" applyFill="1" applyBorder="1"/>
    <xf numFmtId="3" fontId="0" fillId="4" borderId="11" xfId="0" applyNumberFormat="1" applyFill="1" applyBorder="1"/>
    <xf numFmtId="0" fontId="0" fillId="4" borderId="51" xfId="0" applyFill="1" applyBorder="1"/>
    <xf numFmtId="0" fontId="0" fillId="0" borderId="62" xfId="0" applyBorder="1"/>
    <xf numFmtId="0" fontId="11" fillId="0" borderId="0" xfId="0" applyFont="1"/>
    <xf numFmtId="3" fontId="0" fillId="0" borderId="50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12" fillId="0" borderId="0" xfId="0" applyFont="1"/>
    <xf numFmtId="3" fontId="12" fillId="3" borderId="11" xfId="0" applyNumberFormat="1" applyFont="1" applyFill="1" applyBorder="1"/>
    <xf numFmtId="0" fontId="13" fillId="0" borderId="11" xfId="0" applyFont="1" applyBorder="1"/>
    <xf numFmtId="0" fontId="13" fillId="0" borderId="0" xfId="0" applyFont="1"/>
    <xf numFmtId="3" fontId="12" fillId="3" borderId="35" xfId="0" applyNumberFormat="1" applyFont="1" applyFill="1" applyBorder="1"/>
    <xf numFmtId="3" fontId="12" fillId="3" borderId="36" xfId="0" applyNumberFormat="1" applyFont="1" applyFill="1" applyBorder="1"/>
    <xf numFmtId="3" fontId="12" fillId="3" borderId="54" xfId="0" applyNumberFormat="1" applyFont="1" applyFill="1" applyBorder="1"/>
    <xf numFmtId="3" fontId="13" fillId="3" borderId="54" xfId="0" applyNumberFormat="1" applyFont="1" applyFill="1" applyBorder="1"/>
    <xf numFmtId="0" fontId="13" fillId="3" borderId="11" xfId="0" applyFont="1" applyFill="1" applyBorder="1"/>
    <xf numFmtId="0" fontId="14" fillId="0" borderId="0" xfId="0" applyFont="1"/>
    <xf numFmtId="3" fontId="0" fillId="5" borderId="15" xfId="0" applyNumberFormat="1" applyFill="1" applyBorder="1"/>
    <xf numFmtId="3" fontId="0" fillId="5" borderId="7" xfId="0" applyNumberFormat="1" applyFill="1" applyBorder="1"/>
    <xf numFmtId="1" fontId="0" fillId="5" borderId="15" xfId="0" applyNumberFormat="1" applyFill="1" applyBorder="1"/>
    <xf numFmtId="1" fontId="0" fillId="5" borderId="7" xfId="0" applyNumberFormat="1" applyFill="1" applyBorder="1"/>
    <xf numFmtId="1" fontId="0" fillId="0" borderId="18" xfId="0" applyNumberFormat="1" applyBorder="1"/>
    <xf numFmtId="1" fontId="16" fillId="5" borderId="7" xfId="0" applyNumberFormat="1" applyFont="1" applyFill="1" applyBorder="1"/>
    <xf numFmtId="166" fontId="0" fillId="0" borderId="20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40" xfId="0" applyNumberFormat="1" applyBorder="1"/>
    <xf numFmtId="0" fontId="0" fillId="5" borderId="7" xfId="0" applyFill="1" applyBorder="1"/>
    <xf numFmtId="165" fontId="0" fillId="6" borderId="0" xfId="0" applyNumberFormat="1" applyFill="1"/>
    <xf numFmtId="0" fontId="0" fillId="6" borderId="0" xfId="0" applyFill="1"/>
    <xf numFmtId="166" fontId="0" fillId="0" borderId="0" xfId="0" applyNumberFormat="1"/>
    <xf numFmtId="1" fontId="13" fillId="7" borderId="11" xfId="0" applyNumberFormat="1" applyFont="1" applyFill="1" applyBorder="1" applyAlignment="1">
      <alignment horizontal="center"/>
    </xf>
    <xf numFmtId="1" fontId="0" fillId="5" borderId="17" xfId="0" applyNumberFormat="1" applyFill="1" applyBorder="1"/>
    <xf numFmtId="1" fontId="0" fillId="5" borderId="18" xfId="0" applyNumberFormat="1" applyFill="1" applyBorder="1"/>
    <xf numFmtId="0" fontId="0" fillId="0" borderId="39" xfId="0" applyBorder="1"/>
    <xf numFmtId="3" fontId="1" fillId="8" borderId="19" xfId="0" applyNumberFormat="1" applyFont="1" applyFill="1" applyBorder="1"/>
    <xf numFmtId="164" fontId="0" fillId="0" borderId="0" xfId="0" applyNumberFormat="1"/>
    <xf numFmtId="164" fontId="0" fillId="0" borderId="0" xfId="2" applyNumberFormat="1" applyFont="1"/>
    <xf numFmtId="0" fontId="0" fillId="6" borderId="5" xfId="0" applyFill="1" applyBorder="1"/>
    <xf numFmtId="0" fontId="0" fillId="0" borderId="8" xfId="0" applyBorder="1"/>
    <xf numFmtId="3" fontId="0" fillId="0" borderId="14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8" borderId="33" xfId="0" applyFill="1" applyBorder="1"/>
    <xf numFmtId="0" fontId="0" fillId="8" borderId="7" xfId="0" applyFill="1" applyBorder="1"/>
    <xf numFmtId="1" fontId="0" fillId="8" borderId="57" xfId="0" applyNumberFormat="1" applyFill="1" applyBorder="1"/>
    <xf numFmtId="0" fontId="0" fillId="8" borderId="57" xfId="0" applyFill="1" applyBorder="1"/>
    <xf numFmtId="3" fontId="0" fillId="0" borderId="19" xfId="0" applyNumberFormat="1" applyBorder="1"/>
    <xf numFmtId="3" fontId="0" fillId="0" borderId="37" xfId="0" applyNumberFormat="1" applyBorder="1"/>
    <xf numFmtId="3" fontId="0" fillId="0" borderId="34" xfId="0" applyNumberFormat="1" applyBorder="1"/>
    <xf numFmtId="9" fontId="0" fillId="0" borderId="0" xfId="2" applyNumberFormat="1" applyFont="1"/>
    <xf numFmtId="9" fontId="0" fillId="0" borderId="0" xfId="0" applyNumberFormat="1"/>
    <xf numFmtId="3" fontId="0" fillId="0" borderId="56" xfId="0" applyNumberFormat="1" applyBorder="1"/>
    <xf numFmtId="10" fontId="0" fillId="6" borderId="5" xfId="0" applyNumberFormat="1" applyFill="1" applyBorder="1"/>
    <xf numFmtId="0" fontId="0" fillId="6" borderId="48" xfId="0" applyFill="1" applyBorder="1"/>
    <xf numFmtId="0" fontId="0" fillId="6" borderId="49" xfId="0" applyFill="1" applyBorder="1"/>
    <xf numFmtId="0" fontId="0" fillId="6" borderId="47" xfId="0" applyFill="1" applyBorder="1"/>
    <xf numFmtId="0" fontId="0" fillId="0" borderId="66" xfId="0" applyBorder="1"/>
    <xf numFmtId="0" fontId="0" fillId="6" borderId="6" xfId="0" applyFill="1" applyBorder="1"/>
    <xf numFmtId="0" fontId="0" fillId="6" borderId="46" xfId="0" applyFill="1" applyBorder="1"/>
    <xf numFmtId="0" fontId="0" fillId="6" borderId="44" xfId="0" applyFill="1" applyBorder="1"/>
    <xf numFmtId="0" fontId="0" fillId="6" borderId="45" xfId="0" applyFill="1" applyBorder="1"/>
    <xf numFmtId="9" fontId="0" fillId="6" borderId="53" xfId="0" applyNumberFormat="1" applyFill="1" applyBorder="1"/>
    <xf numFmtId="9" fontId="0" fillId="6" borderId="65" xfId="0" applyNumberFormat="1" applyFill="1" applyBorder="1"/>
    <xf numFmtId="0" fontId="0" fillId="6" borderId="65" xfId="0" applyFill="1" applyBorder="1"/>
    <xf numFmtId="0" fontId="0" fillId="6" borderId="31" xfId="0" applyFill="1" applyBorder="1"/>
    <xf numFmtId="3" fontId="0" fillId="0" borderId="41" xfId="0" applyNumberFormat="1" applyBorder="1"/>
    <xf numFmtId="3" fontId="0" fillId="0" borderId="30" xfId="0" applyNumberFormat="1" applyBorder="1"/>
    <xf numFmtId="3" fontId="0" fillId="4" borderId="42" xfId="0" applyNumberFormat="1" applyFill="1" applyBorder="1"/>
    <xf numFmtId="3" fontId="0" fillId="0" borderId="27" xfId="0" applyNumberFormat="1" applyBorder="1"/>
    <xf numFmtId="3" fontId="0" fillId="0" borderId="38" xfId="0" applyNumberFormat="1" applyBorder="1"/>
    <xf numFmtId="3" fontId="0" fillId="5" borderId="67" xfId="0" applyNumberFormat="1" applyFill="1" applyBorder="1"/>
    <xf numFmtId="3" fontId="0" fillId="5" borderId="4" xfId="0" applyNumberFormat="1" applyFill="1" applyBorder="1"/>
    <xf numFmtId="3" fontId="0" fillId="0" borderId="64" xfId="0" applyNumberFormat="1" applyBorder="1"/>
    <xf numFmtId="1" fontId="0" fillId="0" borderId="35" xfId="0" applyNumberFormat="1" applyBorder="1"/>
    <xf numFmtId="1" fontId="0" fillId="0" borderId="36" xfId="0" applyNumberFormat="1" applyBorder="1"/>
    <xf numFmtId="3" fontId="0" fillId="0" borderId="21" xfId="0" applyNumberFormat="1" applyBorder="1"/>
    <xf numFmtId="1" fontId="0" fillId="0" borderId="54" xfId="0" applyNumberFormat="1" applyBorder="1"/>
    <xf numFmtId="0" fontId="0" fillId="0" borderId="2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52" xfId="0" applyBorder="1" applyAlignment="1">
      <alignment horizontal="left"/>
    </xf>
    <xf numFmtId="1" fontId="0" fillId="5" borderId="67" xfId="0" applyNumberFormat="1" applyFill="1" applyBorder="1"/>
    <xf numFmtId="1" fontId="0" fillId="5" borderId="4" xfId="0" applyNumberFormat="1" applyFill="1" applyBorder="1"/>
    <xf numFmtId="0" fontId="0" fillId="0" borderId="63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11" xfId="0" applyBorder="1" applyAlignment="1">
      <alignment horizontal="left"/>
    </xf>
    <xf numFmtId="3" fontId="0" fillId="0" borderId="22" xfId="0" applyNumberFormat="1" applyBorder="1"/>
    <xf numFmtId="3" fontId="0" fillId="0" borderId="61" xfId="0" applyNumberFormat="1" applyBorder="1"/>
    <xf numFmtId="3" fontId="0" fillId="0" borderId="42" xfId="0" applyNumberFormat="1" applyBorder="1"/>
    <xf numFmtId="0" fontId="1" fillId="0" borderId="43" xfId="0" applyFont="1" applyBorder="1"/>
    <xf numFmtId="0" fontId="0" fillId="0" borderId="53" xfId="0" applyBorder="1" applyAlignment="1">
      <alignment horizontal="center"/>
    </xf>
    <xf numFmtId="0" fontId="1" fillId="0" borderId="52" xfId="0" applyFont="1" applyBorder="1"/>
    <xf numFmtId="0" fontId="1" fillId="0" borderId="46" xfId="0" applyFont="1" applyBorder="1"/>
    <xf numFmtId="0" fontId="1" fillId="0" borderId="23" xfId="0" applyFont="1" applyBorder="1"/>
    <xf numFmtId="3" fontId="0" fillId="0" borderId="65" xfId="0" applyNumberFormat="1" applyBorder="1"/>
    <xf numFmtId="0" fontId="1" fillId="0" borderId="63" xfId="0" applyFont="1" applyBorder="1"/>
    <xf numFmtId="0" fontId="1" fillId="0" borderId="38" xfId="0" applyFont="1" applyBorder="1"/>
    <xf numFmtId="0" fontId="1" fillId="0" borderId="44" xfId="0" applyFont="1" applyBorder="1"/>
    <xf numFmtId="0" fontId="1" fillId="0" borderId="48" xfId="0" applyFont="1" applyBorder="1"/>
    <xf numFmtId="0" fontId="1" fillId="0" borderId="45" xfId="0" applyFont="1" applyBorder="1"/>
    <xf numFmtId="0" fontId="8" fillId="0" borderId="54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1" fontId="19" fillId="0" borderId="68" xfId="0" applyNumberFormat="1" applyFont="1" applyBorder="1" applyAlignment="1">
      <alignment horizontal="left"/>
    </xf>
    <xf numFmtId="0" fontId="0" fillId="6" borderId="43" xfId="0" applyFill="1" applyBorder="1"/>
    <xf numFmtId="0" fontId="0" fillId="6" borderId="23" xfId="0" applyFill="1" applyBorder="1"/>
    <xf numFmtId="3" fontId="0" fillId="5" borderId="33" xfId="0" applyNumberFormat="1" applyFill="1" applyBorder="1"/>
    <xf numFmtId="3" fontId="0" fillId="5" borderId="57" xfId="0" applyNumberFormat="1" applyFill="1" applyBorder="1"/>
    <xf numFmtId="3" fontId="0" fillId="5" borderId="9" xfId="0" applyNumberFormat="1" applyFill="1" applyBorder="1"/>
    <xf numFmtId="3" fontId="0" fillId="5" borderId="1" xfId="0" applyNumberFormat="1" applyFill="1" applyBorder="1"/>
    <xf numFmtId="3" fontId="0" fillId="5" borderId="40" xfId="0" applyNumberFormat="1" applyFill="1" applyBorder="1"/>
    <xf numFmtId="3" fontId="0" fillId="5" borderId="18" xfId="0" applyNumberFormat="1" applyFill="1" applyBorder="1"/>
    <xf numFmtId="3" fontId="0" fillId="5" borderId="58" xfId="0" applyNumberFormat="1" applyFill="1" applyBorder="1"/>
    <xf numFmtId="3" fontId="0" fillId="5" borderId="10" xfId="0" applyNumberFormat="1" applyFill="1" applyBorder="1"/>
    <xf numFmtId="3" fontId="0" fillId="5" borderId="6" xfId="0" applyNumberFormat="1" applyFill="1" applyBorder="1"/>
    <xf numFmtId="3" fontId="0" fillId="5" borderId="3" xfId="0" applyNumberFormat="1" applyFill="1" applyBorder="1"/>
    <xf numFmtId="3" fontId="0" fillId="0" borderId="31" xfId="0" applyNumberFormat="1" applyBorder="1"/>
    <xf numFmtId="3" fontId="0" fillId="0" borderId="53" xfId="0" applyNumberFormat="1" applyBorder="1"/>
    <xf numFmtId="3" fontId="7" fillId="0" borderId="11" xfId="0" applyNumberFormat="1" applyFont="1" applyBorder="1" applyAlignment="1">
      <alignment horizontal="center"/>
    </xf>
    <xf numFmtId="1" fontId="18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left"/>
    </xf>
    <xf numFmtId="1" fontId="18" fillId="0" borderId="8" xfId="0" applyNumberFormat="1" applyFont="1" applyBorder="1" applyAlignment="1">
      <alignment horizontal="left"/>
    </xf>
    <xf numFmtId="1" fontId="18" fillId="0" borderId="48" xfId="0" applyNumberFormat="1" applyFont="1" applyBorder="1" applyAlignment="1">
      <alignment horizontal="left"/>
    </xf>
    <xf numFmtId="1" fontId="18" fillId="0" borderId="54" xfId="0" applyNumberFormat="1" applyFont="1" applyBorder="1" applyAlignment="1">
      <alignment horizontal="left"/>
    </xf>
    <xf numFmtId="3" fontId="19" fillId="0" borderId="0" xfId="0" applyNumberFormat="1" applyFont="1"/>
    <xf numFmtId="2" fontId="20" fillId="6" borderId="7" xfId="0" applyNumberFormat="1" applyFont="1" applyFill="1" applyBorder="1"/>
    <xf numFmtId="2" fontId="20" fillId="6" borderId="57" xfId="0" applyNumberFormat="1" applyFont="1" applyFill="1" applyBorder="1"/>
    <xf numFmtId="0" fontId="20" fillId="6" borderId="7" xfId="0" applyFont="1" applyFill="1" applyBorder="1"/>
    <xf numFmtId="3" fontId="20" fillId="6" borderId="7" xfId="0" applyNumberFormat="1" applyFont="1" applyFill="1" applyBorder="1"/>
    <xf numFmtId="3" fontId="20" fillId="6" borderId="33" xfId="0" applyNumberFormat="1" applyFont="1" applyFill="1" applyBorder="1"/>
    <xf numFmtId="0" fontId="20" fillId="6" borderId="0" xfId="0" applyFont="1" applyFill="1"/>
    <xf numFmtId="0" fontId="20" fillId="0" borderId="0" xfId="0" applyFont="1"/>
    <xf numFmtId="164" fontId="20" fillId="6" borderId="35" xfId="2" applyNumberFormat="1" applyFont="1" applyFill="1" applyBorder="1"/>
    <xf numFmtId="164" fontId="20" fillId="6" borderId="36" xfId="2" applyNumberFormat="1" applyFont="1" applyFill="1" applyBorder="1"/>
    <xf numFmtId="164" fontId="20" fillId="6" borderId="21" xfId="2" applyNumberFormat="1" applyFont="1" applyFill="1" applyBorder="1"/>
    <xf numFmtId="0" fontId="20" fillId="6" borderId="5" xfId="0" applyFont="1" applyFill="1" applyBorder="1"/>
    <xf numFmtId="0" fontId="0" fillId="9" borderId="69" xfId="3" applyFont="1"/>
    <xf numFmtId="46" fontId="1" fillId="0" borderId="0" xfId="0" quotePrefix="1" applyNumberFormat="1" applyFont="1"/>
    <xf numFmtId="0" fontId="0" fillId="0" borderId="0" xfId="0" quotePrefix="1"/>
    <xf numFmtId="10" fontId="10" fillId="9" borderId="69" xfId="3" applyNumberFormat="1"/>
    <xf numFmtId="10" fontId="0" fillId="9" borderId="69" xfId="3" applyNumberFormat="1" applyFont="1"/>
    <xf numFmtId="164" fontId="20" fillId="6" borderId="55" xfId="0" applyNumberFormat="1" applyFont="1" applyFill="1" applyBorder="1"/>
    <xf numFmtId="164" fontId="20" fillId="6" borderId="6" xfId="0" applyNumberFormat="1" applyFont="1" applyFill="1" applyBorder="1"/>
    <xf numFmtId="164" fontId="20" fillId="6" borderId="12" xfId="0" applyNumberFormat="1" applyFont="1" applyFill="1" applyBorder="1"/>
    <xf numFmtId="164" fontId="20" fillId="6" borderId="13" xfId="0" applyNumberFormat="1" applyFont="1" applyFill="1" applyBorder="1"/>
    <xf numFmtId="0" fontId="20" fillId="6" borderId="54" xfId="0" applyFont="1" applyFill="1" applyBorder="1"/>
    <xf numFmtId="0" fontId="20" fillId="6" borderId="52" xfId="0" applyFont="1" applyFill="1" applyBorder="1"/>
    <xf numFmtId="10" fontId="21" fillId="6" borderId="5" xfId="0" applyNumberFormat="1" applyFont="1" applyFill="1" applyBorder="1"/>
    <xf numFmtId="0" fontId="21" fillId="6" borderId="4" xfId="0" applyFont="1" applyFill="1" applyBorder="1"/>
    <xf numFmtId="2" fontId="21" fillId="0" borderId="0" xfId="0" applyNumberFormat="1" applyFont="1"/>
    <xf numFmtId="2" fontId="0" fillId="0" borderId="0" xfId="2" applyNumberFormat="1" applyFont="1"/>
    <xf numFmtId="2" fontId="0" fillId="0" borderId="7" xfId="0" applyNumberFormat="1" applyBorder="1"/>
    <xf numFmtId="165" fontId="0" fillId="0" borderId="7" xfId="0" applyNumberFormat="1" applyBorder="1"/>
    <xf numFmtId="165" fontId="21" fillId="6" borderId="10" xfId="0" applyNumberFormat="1" applyFont="1" applyFill="1" applyBorder="1"/>
    <xf numFmtId="0" fontId="16" fillId="0" borderId="7" xfId="0" applyFont="1" applyBorder="1"/>
    <xf numFmtId="168" fontId="0" fillId="0" borderId="7" xfId="0" applyNumberFormat="1" applyBorder="1"/>
    <xf numFmtId="3" fontId="21" fillId="0" borderId="12" xfId="0" applyNumberFormat="1" applyFont="1" applyBorder="1"/>
    <xf numFmtId="3" fontId="21" fillId="0" borderId="15" xfId="0" applyNumberFormat="1" applyFont="1" applyBorder="1"/>
    <xf numFmtId="3" fontId="21" fillId="0" borderId="17" xfId="0" applyNumberFormat="1" applyFont="1" applyBorder="1"/>
    <xf numFmtId="0" fontId="0" fillId="0" borderId="70" xfId="0" applyBorder="1"/>
    <xf numFmtId="169" fontId="16" fillId="0" borderId="70" xfId="0" applyNumberFormat="1" applyFont="1" applyBorder="1"/>
    <xf numFmtId="0" fontId="16" fillId="0" borderId="70" xfId="0" applyFont="1" applyBorder="1"/>
    <xf numFmtId="1" fontId="0" fillId="0" borderId="70" xfId="0" applyNumberFormat="1" applyBorder="1"/>
    <xf numFmtId="0" fontId="21" fillId="6" borderId="5" xfId="0" applyFont="1" applyFill="1" applyBorder="1"/>
    <xf numFmtId="166" fontId="0" fillId="10" borderId="0" xfId="0" applyNumberFormat="1" applyFill="1"/>
    <xf numFmtId="4" fontId="20" fillId="10" borderId="0" xfId="0" applyNumberFormat="1" applyFont="1" applyFill="1"/>
    <xf numFmtId="166" fontId="0" fillId="0" borderId="12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166" fontId="0" fillId="0" borderId="17" xfId="0" applyNumberFormat="1" applyBorder="1"/>
    <xf numFmtId="166" fontId="0" fillId="0" borderId="32" xfId="0" applyNumberFormat="1" applyBorder="1"/>
    <xf numFmtId="1" fontId="0" fillId="0" borderId="15" xfId="0" applyNumberFormat="1" applyBorder="1"/>
    <xf numFmtId="3" fontId="0" fillId="4" borderId="25" xfId="0" applyNumberFormat="1" applyFill="1" applyBorder="1"/>
    <xf numFmtId="170" fontId="16" fillId="0" borderId="70" xfId="0" applyNumberFormat="1" applyFont="1" applyBorder="1"/>
    <xf numFmtId="0" fontId="0" fillId="0" borderId="43" xfId="0" applyBorder="1"/>
    <xf numFmtId="0" fontId="0" fillId="0" borderId="44" xfId="0" applyBorder="1"/>
    <xf numFmtId="167" fontId="20" fillId="0" borderId="0" xfId="0" applyNumberFormat="1" applyFont="1"/>
    <xf numFmtId="166" fontId="20" fillId="0" borderId="0" xfId="0" applyNumberFormat="1" applyFont="1" applyAlignment="1">
      <alignment horizontal="center"/>
    </xf>
    <xf numFmtId="2" fontId="20" fillId="6" borderId="43" xfId="0" applyNumberFormat="1" applyFont="1" applyFill="1" applyBorder="1" applyAlignment="1">
      <alignment horizontal="right"/>
    </xf>
    <xf numFmtId="2" fontId="20" fillId="6" borderId="44" xfId="0" applyNumberFormat="1" applyFont="1" applyFill="1" applyBorder="1" applyAlignment="1">
      <alignment horizontal="right"/>
    </xf>
    <xf numFmtId="2" fontId="20" fillId="6" borderId="45" xfId="0" applyNumberFormat="1" applyFont="1" applyFill="1" applyBorder="1" applyAlignment="1">
      <alignment horizontal="right"/>
    </xf>
    <xf numFmtId="2" fontId="20" fillId="6" borderId="46" xfId="0" applyNumberFormat="1" applyFont="1" applyFill="1" applyBorder="1" applyAlignment="1">
      <alignment horizontal="right"/>
    </xf>
    <xf numFmtId="2" fontId="20" fillId="6" borderId="0" xfId="0" applyNumberFormat="1" applyFont="1" applyFill="1" applyAlignment="1">
      <alignment horizontal="right"/>
    </xf>
    <xf numFmtId="2" fontId="20" fillId="6" borderId="47" xfId="0" applyNumberFormat="1" applyFont="1" applyFill="1" applyBorder="1" applyAlignment="1">
      <alignment horizontal="right"/>
    </xf>
    <xf numFmtId="2" fontId="20" fillId="6" borderId="23" xfId="0" applyNumberFormat="1" applyFont="1" applyFill="1" applyBorder="1" applyAlignment="1">
      <alignment horizontal="right"/>
    </xf>
    <xf numFmtId="2" fontId="20" fillId="6" borderId="48" xfId="0" applyNumberFormat="1" applyFont="1" applyFill="1" applyBorder="1" applyAlignment="1">
      <alignment horizontal="right"/>
    </xf>
    <xf numFmtId="2" fontId="20" fillId="6" borderId="49" xfId="0" applyNumberFormat="1" applyFont="1" applyFill="1" applyBorder="1" applyAlignment="1">
      <alignment horizontal="right"/>
    </xf>
    <xf numFmtId="166" fontId="20" fillId="6" borderId="12" xfId="0" applyNumberFormat="1" applyFont="1" applyFill="1" applyBorder="1" applyAlignment="1">
      <alignment horizontal="right"/>
    </xf>
    <xf numFmtId="166" fontId="20" fillId="6" borderId="13" xfId="0" applyNumberFormat="1" applyFont="1" applyFill="1" applyBorder="1" applyAlignment="1">
      <alignment horizontal="right"/>
    </xf>
    <xf numFmtId="166" fontId="20" fillId="6" borderId="14" xfId="0" applyNumberFormat="1" applyFont="1" applyFill="1" applyBorder="1" applyAlignment="1">
      <alignment horizontal="right"/>
    </xf>
    <xf numFmtId="166" fontId="20" fillId="6" borderId="15" xfId="0" applyNumberFormat="1" applyFont="1" applyFill="1" applyBorder="1" applyAlignment="1">
      <alignment horizontal="right"/>
    </xf>
    <xf numFmtId="166" fontId="20" fillId="6" borderId="7" xfId="0" applyNumberFormat="1" applyFont="1" applyFill="1" applyBorder="1" applyAlignment="1">
      <alignment horizontal="right"/>
    </xf>
    <xf numFmtId="166" fontId="20" fillId="6" borderId="16" xfId="0" applyNumberFormat="1" applyFont="1" applyFill="1" applyBorder="1" applyAlignment="1">
      <alignment horizontal="right"/>
    </xf>
    <xf numFmtId="166" fontId="20" fillId="6" borderId="17" xfId="0" applyNumberFormat="1" applyFont="1" applyFill="1" applyBorder="1" applyAlignment="1">
      <alignment horizontal="right"/>
    </xf>
    <xf numFmtId="166" fontId="20" fillId="6" borderId="18" xfId="0" applyNumberFormat="1" applyFont="1" applyFill="1" applyBorder="1" applyAlignment="1">
      <alignment horizontal="right"/>
    </xf>
    <xf numFmtId="166" fontId="20" fillId="6" borderId="19" xfId="0" applyNumberFormat="1" applyFont="1" applyFill="1" applyBorder="1" applyAlignment="1">
      <alignment horizontal="right"/>
    </xf>
    <xf numFmtId="3" fontId="15" fillId="3" borderId="11" xfId="0" applyNumberFormat="1" applyFont="1" applyFill="1" applyBorder="1" applyAlignment="1">
      <alignment horizontal="right"/>
    </xf>
    <xf numFmtId="0" fontId="0" fillId="0" borderId="0" xfId="3" quotePrefix="1" applyFont="1" applyFill="1" applyBorder="1"/>
    <xf numFmtId="166" fontId="0" fillId="0" borderId="71" xfId="0" applyNumberFormat="1" applyBorder="1"/>
    <xf numFmtId="166" fontId="0" fillId="0" borderId="57" xfId="0" applyNumberFormat="1" applyBorder="1"/>
    <xf numFmtId="166" fontId="0" fillId="0" borderId="58" xfId="0" applyNumberFormat="1" applyBorder="1"/>
    <xf numFmtId="166" fontId="0" fillId="0" borderId="27" xfId="0" applyNumberFormat="1" applyBorder="1"/>
    <xf numFmtId="1" fontId="0" fillId="0" borderId="34" xfId="0" applyNumberFormat="1" applyBorder="1"/>
    <xf numFmtId="1" fontId="0" fillId="0" borderId="37" xfId="0" applyNumberFormat="1" applyBorder="1"/>
    <xf numFmtId="166" fontId="0" fillId="0" borderId="37" xfId="0" applyNumberFormat="1" applyBorder="1"/>
    <xf numFmtId="166" fontId="0" fillId="0" borderId="23" xfId="0" applyNumberFormat="1" applyBorder="1"/>
    <xf numFmtId="1" fontId="0" fillId="0" borderId="20" xfId="0" applyNumberFormat="1" applyBorder="1"/>
    <xf numFmtId="0" fontId="0" fillId="0" borderId="0" xfId="0" applyBorder="1"/>
    <xf numFmtId="3" fontId="0" fillId="0" borderId="0" xfId="0" applyNumberFormat="1" applyBorder="1"/>
    <xf numFmtId="3" fontId="0" fillId="5" borderId="29" xfId="0" applyNumberFormat="1" applyFill="1" applyBorder="1"/>
    <xf numFmtId="3" fontId="0" fillId="5" borderId="36" xfId="0" applyNumberFormat="1" applyFill="1" applyBorder="1"/>
    <xf numFmtId="0" fontId="0" fillId="0" borderId="11" xfId="0" applyFill="1" applyBorder="1"/>
  </cellXfs>
  <cellStyles count="4">
    <cellStyle name="Huomautus" xfId="3" builtinId="10"/>
    <cellStyle name="Hyperlinkki" xfId="1" builtinId="8"/>
    <cellStyle name="Normaali" xfId="0" builtinId="0"/>
    <cellStyle name="Prosentti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ukkanen Kalle" id="{C4D80682-788D-4EDB-8D99-45EAFA53A885}" userId="S::kalle.laukkanen@hsl.fi::de3a9c9f-de8f-4f44-9486-3be3d38ffcfb" providerId="AD"/>
</personList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4" dT="2026-06-30T07:16:09.16" personId="{C4D80682-788D-4EDB-8D99-45EAFA53A885}" id="{7FBBA77F-CB7A-4397-B6B2-08B57B2F796D}">
    <text>RRI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4"/>
  <sheetViews>
    <sheetView showGridLines="0" workbookViewId="0">
      <selection activeCell="F2" sqref="F2"/>
    </sheetView>
  </sheetViews>
  <sheetFormatPr defaultRowHeight="15" x14ac:dyDescent="0.25"/>
  <cols>
    <col min="2" max="2" width="26.28515625" customWidth="1"/>
    <col min="3" max="3" width="13.28515625" customWidth="1"/>
    <col min="4" max="4" width="20" customWidth="1"/>
    <col min="5" max="6" width="8.85546875" customWidth="1"/>
    <col min="8" max="8" width="8.85546875" customWidth="1"/>
    <col min="10" max="10" width="8.85546875" customWidth="1"/>
  </cols>
  <sheetData>
    <row r="1" spans="2:12" ht="15" customHeight="1" thickBot="1" x14ac:dyDescent="0.3"/>
    <row r="2" spans="2:12" ht="15" customHeight="1" thickBot="1" x14ac:dyDescent="0.3">
      <c r="B2" s="210" t="s">
        <v>0</v>
      </c>
      <c r="C2" s="216"/>
      <c r="D2" s="209" t="s">
        <v>1</v>
      </c>
      <c r="E2" s="11"/>
      <c r="H2" t="s">
        <v>2</v>
      </c>
      <c r="J2" s="11"/>
      <c r="K2" s="11"/>
      <c r="L2" s="11"/>
    </row>
    <row r="3" spans="2:12" ht="15" customHeight="1" x14ac:dyDescent="0.25">
      <c r="B3" s="208" t="s">
        <v>3</v>
      </c>
      <c r="C3" s="216"/>
      <c r="D3" s="235">
        <f>Investointikustannus!X23</f>
        <v>0</v>
      </c>
    </row>
    <row r="4" spans="2:12" ht="15" customHeight="1" x14ac:dyDescent="0.25">
      <c r="B4" s="211" t="s">
        <v>4</v>
      </c>
      <c r="C4" s="11"/>
      <c r="D4" s="213">
        <f>Investointikustannus!D6-D3</f>
        <v>0</v>
      </c>
    </row>
    <row r="5" spans="2:12" ht="15.75" thickBot="1" x14ac:dyDescent="0.3">
      <c r="B5" s="212" t="s">
        <v>5</v>
      </c>
      <c r="C5" s="217"/>
      <c r="D5" s="234">
        <f>(Diskonttaus!B10-1)*(Yhteenveto!D3+Yhteenveto!D4)</f>
        <v>0</v>
      </c>
    </row>
    <row r="6" spans="2:12" ht="15.75" thickBot="1" x14ac:dyDescent="0.3">
      <c r="B6" s="210" t="s">
        <v>6</v>
      </c>
      <c r="C6" s="217"/>
      <c r="D6" s="234">
        <f>SUM(D3:D5)</f>
        <v>0</v>
      </c>
      <c r="F6" s="242" t="e">
        <f ca="1">MAX(D6,D26)</f>
        <v>#VALUE!</v>
      </c>
    </row>
    <row r="7" spans="2:12" ht="15.75" thickBot="1" x14ac:dyDescent="0.3"/>
    <row r="8" spans="2:12" ht="15.75" thickBot="1" x14ac:dyDescent="0.3">
      <c r="B8" s="210" t="s">
        <v>7</v>
      </c>
      <c r="C8" s="218"/>
      <c r="D8" s="209" t="s">
        <v>1</v>
      </c>
    </row>
    <row r="9" spans="2:12" x14ac:dyDescent="0.25">
      <c r="B9" s="208" t="s">
        <v>8</v>
      </c>
      <c r="C9" s="216"/>
      <c r="D9" s="67"/>
    </row>
    <row r="10" spans="2:12" x14ac:dyDescent="0.25">
      <c r="B10" s="51" t="s">
        <v>9</v>
      </c>
      <c r="C10" s="221">
        <f ca="1">-D10</f>
        <v>0</v>
      </c>
      <c r="D10" s="182">
        <f ca="1">-(Tuottajahyodyt!L70+Tuottajahyodyt!L90)/1000000</f>
        <v>0</v>
      </c>
    </row>
    <row r="11" spans="2:12" x14ac:dyDescent="0.25">
      <c r="B11" s="214" t="s">
        <v>10</v>
      </c>
      <c r="C11" s="237"/>
      <c r="D11" s="213"/>
    </row>
    <row r="12" spans="2:12" x14ac:dyDescent="0.25">
      <c r="B12" s="60" t="s">
        <v>11</v>
      </c>
      <c r="C12" s="238">
        <f ca="1">-D12</f>
        <v>0</v>
      </c>
      <c r="D12" s="213">
        <f ca="1">Kayttajahyodyt!M23/1000000</f>
        <v>0</v>
      </c>
    </row>
    <row r="13" spans="2:12" x14ac:dyDescent="0.25">
      <c r="B13" s="60" t="s">
        <v>12</v>
      </c>
      <c r="C13" s="238">
        <f t="shared" ref="C13:C14" ca="1" si="0">-D13</f>
        <v>0</v>
      </c>
      <c r="D13" s="213">
        <f ca="1">Kayttajahyodyt!M36/1000000</f>
        <v>0</v>
      </c>
    </row>
    <row r="14" spans="2:12" x14ac:dyDescent="0.25">
      <c r="B14" s="51" t="s">
        <v>13</v>
      </c>
      <c r="C14" s="221">
        <f t="shared" ca="1" si="0"/>
        <v>0</v>
      </c>
      <c r="D14" s="182">
        <f ca="1">Kayttajahyodyt!M51/1000000</f>
        <v>0</v>
      </c>
    </row>
    <row r="15" spans="2:12" x14ac:dyDescent="0.25">
      <c r="B15" s="214" t="s">
        <v>14</v>
      </c>
      <c r="C15" s="239"/>
      <c r="D15" s="206"/>
    </row>
    <row r="16" spans="2:12" ht="15" customHeight="1" x14ac:dyDescent="0.25">
      <c r="B16" s="60" t="s">
        <v>15</v>
      </c>
      <c r="C16" s="238">
        <f t="shared" ref="C16:C17" ca="1" si="1">-D16</f>
        <v>0</v>
      </c>
      <c r="D16" s="213">
        <f ca="1">-Tuottajahyodyt!O23/1000000</f>
        <v>0</v>
      </c>
    </row>
    <row r="17" spans="2:4" x14ac:dyDescent="0.25">
      <c r="B17" s="51" t="s">
        <v>16</v>
      </c>
      <c r="C17" s="238">
        <f t="shared" ca="1" si="1"/>
        <v>0</v>
      </c>
      <c r="D17" s="213">
        <f ca="1">Tuottajahyodyt!F48/1000000</f>
        <v>0</v>
      </c>
    </row>
    <row r="18" spans="2:4" x14ac:dyDescent="0.25">
      <c r="B18" s="214" t="s">
        <v>17</v>
      </c>
      <c r="C18" s="239"/>
      <c r="D18" s="206"/>
    </row>
    <row r="19" spans="2:4" x14ac:dyDescent="0.25">
      <c r="B19" s="51" t="s">
        <v>18</v>
      </c>
      <c r="C19" s="221">
        <f ca="1">-D19</f>
        <v>0</v>
      </c>
      <c r="D19" s="182">
        <f ca="1">-Ulkoisvaikutukset!C41/1000000</f>
        <v>0</v>
      </c>
    </row>
    <row r="20" spans="2:4" x14ac:dyDescent="0.25">
      <c r="B20" s="214" t="s">
        <v>19</v>
      </c>
      <c r="C20" s="237"/>
      <c r="D20" s="213"/>
    </row>
    <row r="21" spans="2:4" x14ac:dyDescent="0.25">
      <c r="B21" s="60" t="s">
        <v>20</v>
      </c>
      <c r="C21" s="238">
        <f t="shared" ref="C21:C22" ca="1" si="2">-D21</f>
        <v>0</v>
      </c>
      <c r="D21" s="213">
        <f ca="1">-Ulkoisvaikutukset!D41/1000000</f>
        <v>0</v>
      </c>
    </row>
    <row r="22" spans="2:4" x14ac:dyDescent="0.25">
      <c r="B22" s="51" t="s">
        <v>21</v>
      </c>
      <c r="C22" s="238" t="e">
        <f t="shared" ca="1" si="2"/>
        <v>#VALUE!</v>
      </c>
      <c r="D22" s="213" t="e">
        <f ca="1">-Ulkoisvaikutukset!E41/1000000</f>
        <v>#VALUE!</v>
      </c>
    </row>
    <row r="23" spans="2:4" x14ac:dyDescent="0.25">
      <c r="B23" s="214" t="s">
        <v>22</v>
      </c>
      <c r="C23" s="239"/>
      <c r="D23" s="206"/>
    </row>
    <row r="24" spans="2:4" x14ac:dyDescent="0.25">
      <c r="B24" s="51" t="s">
        <v>23</v>
      </c>
      <c r="C24" s="221">
        <f t="shared" ref="C24:C26" ca="1" si="3">-D24</f>
        <v>0</v>
      </c>
      <c r="D24" s="182">
        <f ca="1">Julkistaloudelliset!C16/1000000</f>
        <v>0</v>
      </c>
    </row>
    <row r="25" spans="2:4" ht="15.75" thickBot="1" x14ac:dyDescent="0.3">
      <c r="B25" s="215" t="s">
        <v>24</v>
      </c>
      <c r="C25" s="240">
        <f t="shared" si="3"/>
        <v>0</v>
      </c>
      <c r="D25" s="234">
        <f>Investointikustannus!AA23</f>
        <v>0</v>
      </c>
    </row>
    <row r="26" spans="2:4" ht="15.75" thickBot="1" x14ac:dyDescent="0.3">
      <c r="B26" s="210" t="s">
        <v>25</v>
      </c>
      <c r="C26" s="241" t="e">
        <f t="shared" ca="1" si="3"/>
        <v>#VALUE!</v>
      </c>
      <c r="D26" s="81" t="e">
        <f ca="1">SUM(D10:D25)</f>
        <v>#VALUE!</v>
      </c>
    </row>
    <row r="28" spans="2:4" ht="15.75" thickBot="1" x14ac:dyDescent="0.3"/>
    <row r="29" spans="2:4" ht="29.25" thickBot="1" x14ac:dyDescent="0.5">
      <c r="B29" s="220" t="s">
        <v>26</v>
      </c>
      <c r="C29" s="219"/>
      <c r="D29" s="236" t="e">
        <f ca="1">D26-D6</f>
        <v>#VALUE!</v>
      </c>
    </row>
    <row r="31" spans="2:4" ht="15.75" thickBot="1" x14ac:dyDescent="0.3">
      <c r="B31" t="s">
        <v>27</v>
      </c>
    </row>
    <row r="32" spans="2:4" ht="32.25" thickBot="1" x14ac:dyDescent="0.6">
      <c r="B32" s="220" t="s">
        <v>28</v>
      </c>
      <c r="C32" s="219"/>
      <c r="D32" s="84" t="e">
        <f ca="1">D26/D6</f>
        <v>#VALUE!</v>
      </c>
    </row>
    <row r="34" spans="2:4" ht="15.75" thickBot="1" x14ac:dyDescent="0.3">
      <c r="B34" t="s">
        <v>29</v>
      </c>
    </row>
    <row r="35" spans="2:4" ht="32.25" thickBot="1" x14ac:dyDescent="0.6">
      <c r="B35" s="220" t="s">
        <v>30</v>
      </c>
      <c r="C35" s="219"/>
      <c r="D35" s="84" t="e">
        <f ca="1">(SUM(D12:D14)+SUM(D19:D22)+D25)/(D6-D10-SUM(D16:D17)-D24)</f>
        <v>#VALUE!</v>
      </c>
    </row>
    <row r="36" spans="2:4" x14ac:dyDescent="0.25">
      <c r="B36" s="41"/>
      <c r="C36" s="41"/>
    </row>
    <row r="54" spans="8:8" x14ac:dyDescent="0.25">
      <c r="H54" t="s">
        <v>31</v>
      </c>
    </row>
  </sheetData>
  <conditionalFormatting sqref="D32">
    <cfRule type="colorScale" priority="7">
      <colorScale>
        <cfvo type="min"/>
        <cfvo type="num" val="1"/>
        <cfvo type="max"/>
        <color rgb="FFF8696B"/>
        <color rgb="FFFFEB84"/>
        <color rgb="FF63BE7B"/>
      </colorScale>
    </cfRule>
  </conditionalFormatting>
  <conditionalFormatting sqref="D35">
    <cfRule type="colorScale" priority="6">
      <colorScale>
        <cfvo type="min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ul1"/>
  <dimension ref="A1:AH67"/>
  <sheetViews>
    <sheetView zoomScaleNormal="100" workbookViewId="0">
      <selection activeCell="H17" sqref="H17"/>
    </sheetView>
  </sheetViews>
  <sheetFormatPr defaultRowHeight="15" x14ac:dyDescent="0.25"/>
  <cols>
    <col min="1" max="1" width="24.85546875" bestFit="1" customWidth="1"/>
    <col min="2" max="2" width="10.140625" customWidth="1"/>
    <col min="5" max="5" width="10.5703125" bestFit="1" customWidth="1"/>
    <col min="6" max="6" width="12.7109375" bestFit="1" customWidth="1"/>
    <col min="7" max="7" width="12.7109375" customWidth="1"/>
    <col min="8" max="8" width="9.140625" customWidth="1"/>
    <col min="9" max="9" width="10.5703125" bestFit="1" customWidth="1"/>
    <col min="10" max="10" width="12.7109375" customWidth="1"/>
    <col min="13" max="13" width="11" bestFit="1" customWidth="1"/>
    <col min="15" max="15" width="9.5703125" bestFit="1" customWidth="1"/>
    <col min="18" max="18" width="11" bestFit="1" customWidth="1"/>
    <col min="23" max="24" width="11" bestFit="1" customWidth="1"/>
    <col min="27" max="27" width="11" bestFit="1" customWidth="1"/>
  </cols>
  <sheetData>
    <row r="1" spans="1:34" x14ac:dyDescent="0.25">
      <c r="A1" t="s">
        <v>227</v>
      </c>
      <c r="B1" s="266">
        <v>2023</v>
      </c>
      <c r="E1" t="s">
        <v>32</v>
      </c>
      <c r="F1" s="12">
        <f>B3</f>
        <v>2045</v>
      </c>
      <c r="G1" s="12"/>
      <c r="I1" t="s">
        <v>32</v>
      </c>
      <c r="J1" s="12">
        <f>B5</f>
        <v>2055</v>
      </c>
      <c r="M1" t="s">
        <v>33</v>
      </c>
      <c r="R1" t="s">
        <v>34</v>
      </c>
      <c r="X1" t="s">
        <v>35</v>
      </c>
      <c r="AB1" t="s">
        <v>36</v>
      </c>
      <c r="AE1" t="s">
        <v>37</v>
      </c>
      <c r="AH1" t="s">
        <v>38</v>
      </c>
    </row>
    <row r="2" spans="1:34" x14ac:dyDescent="0.25">
      <c r="A2" t="s">
        <v>39</v>
      </c>
      <c r="B2" s="253">
        <v>2045</v>
      </c>
      <c r="D2" t="s">
        <v>40</v>
      </c>
      <c r="E2" t="s">
        <v>41</v>
      </c>
      <c r="F2" t="s">
        <v>42</v>
      </c>
      <c r="H2" t="s">
        <v>40</v>
      </c>
      <c r="I2" t="s">
        <v>41</v>
      </c>
      <c r="J2" t="s">
        <v>42</v>
      </c>
      <c r="L2" t="s">
        <v>40</v>
      </c>
      <c r="M2" t="s">
        <v>43</v>
      </c>
      <c r="N2" t="s">
        <v>44</v>
      </c>
      <c r="O2" t="s">
        <v>42</v>
      </c>
      <c r="Q2" t="s">
        <v>40</v>
      </c>
      <c r="R2" t="s">
        <v>43</v>
      </c>
      <c r="S2" t="s">
        <v>44</v>
      </c>
      <c r="T2" t="s">
        <v>42</v>
      </c>
      <c r="V2" t="s">
        <v>40</v>
      </c>
      <c r="W2" t="s">
        <v>43</v>
      </c>
      <c r="X2" t="s">
        <v>42</v>
      </c>
      <c r="Z2" t="s">
        <v>40</v>
      </c>
      <c r="AA2" t="s">
        <v>43</v>
      </c>
      <c r="AB2" t="s">
        <v>42</v>
      </c>
      <c r="AD2" t="s">
        <v>40</v>
      </c>
      <c r="AE2" t="s">
        <v>42</v>
      </c>
      <c r="AG2" t="s">
        <v>40</v>
      </c>
      <c r="AH2" t="s">
        <v>42</v>
      </c>
    </row>
    <row r="3" spans="1:34" x14ac:dyDescent="0.25">
      <c r="A3" t="s">
        <v>45</v>
      </c>
      <c r="B3" s="253">
        <v>2045</v>
      </c>
      <c r="D3">
        <f>B3-1</f>
        <v>2044</v>
      </c>
      <c r="E3" s="2">
        <f>Investointikustannus!L23</f>
        <v>0</v>
      </c>
      <c r="F3" s="5">
        <f t="shared" ref="F3:F12" si="0">E3*(1+$B$8)^($B$2-D3)</f>
        <v>0</v>
      </c>
      <c r="G3" s="13"/>
      <c r="H3">
        <f>B5-1</f>
        <v>2054</v>
      </c>
      <c r="I3" s="2">
        <f>Investointikustannus!W23</f>
        <v>0</v>
      </c>
      <c r="J3" s="5">
        <f t="shared" ref="J3:J12" si="1">I3*(1+$B$8)^($B$2-H3)</f>
        <v>0</v>
      </c>
      <c r="L3">
        <f>B3</f>
        <v>2045</v>
      </c>
      <c r="M3" s="1">
        <f t="shared" ref="M3:M62" si="2">IF($B$17=0,1,MIN($B$16/$B$15,1+(L3-$B$4)*$B$17))</f>
        <v>1</v>
      </c>
      <c r="N3" s="1">
        <f>M3*(1+$B$9)^(L3-$B$2)</f>
        <v>1</v>
      </c>
      <c r="O3" s="1">
        <f>N3/(1+$B$8)^(L3-$B$2)</f>
        <v>1</v>
      </c>
      <c r="Q3">
        <f>B5</f>
        <v>2055</v>
      </c>
      <c r="R3" s="1">
        <f>IF($B$17=0,1,MIN(1,(1+(Q3-$B$4)*$B$17)/($B$16/$B$15)))</f>
        <v>1</v>
      </c>
      <c r="S3" s="1">
        <f t="shared" ref="S3:S34" si="3">R3*(1+$B$9)^(Q3-$B$2)</f>
        <v>1.1491574844855676</v>
      </c>
      <c r="T3" s="1">
        <f t="shared" ref="T3:T34" si="4">S3/(1+$B$8)^(Q3-$B$2)</f>
        <v>0.81465936066721456</v>
      </c>
      <c r="V3">
        <f>B3</f>
        <v>2045</v>
      </c>
      <c r="W3" s="1">
        <f t="shared" ref="W3:W34" si="5">(1+$B$24)^(L3-$B$4)</f>
        <v>1</v>
      </c>
      <c r="X3" s="1">
        <f t="shared" ref="X3:X34" si="6">W3/(1+$B$8)^(L3-$B$2)</f>
        <v>1</v>
      </c>
      <c r="Z3">
        <f>B5</f>
        <v>2055</v>
      </c>
      <c r="AA3" s="1">
        <f t="shared" ref="AA3:AA34" si="7">(1+$B$24)^(Q3-$B$6)</f>
        <v>1</v>
      </c>
      <c r="AB3" s="1">
        <f t="shared" ref="AB3:AB34" si="8">AA3/(1+$B$8)^(Q3-$B$2)</f>
        <v>0.70891881370977217</v>
      </c>
      <c r="AD3">
        <f>B3</f>
        <v>2045</v>
      </c>
      <c r="AE3" s="1">
        <f t="shared" ref="AE3:AE34" si="9">1/(1+$B$8)^(L3-$B$2)</f>
        <v>1</v>
      </c>
      <c r="AG3">
        <f>B5</f>
        <v>2055</v>
      </c>
      <c r="AH3" s="1">
        <f t="shared" ref="AH3:AH34" si="10">1/(1+$B$8)^(Q3-$B$2)</f>
        <v>0.70891881370977217</v>
      </c>
    </row>
    <row r="4" spans="1:34" x14ac:dyDescent="0.25">
      <c r="A4" t="s">
        <v>46</v>
      </c>
      <c r="B4" s="253">
        <v>2045</v>
      </c>
      <c r="D4">
        <f t="shared" ref="D4:D12" si="11">D3-1</f>
        <v>2043</v>
      </c>
      <c r="E4" s="3">
        <f>Investointikustannus!K23</f>
        <v>0</v>
      </c>
      <c r="F4" s="6">
        <f t="shared" si="0"/>
        <v>0</v>
      </c>
      <c r="G4" s="13"/>
      <c r="H4">
        <f t="shared" ref="H4:H12" si="12">H3-1</f>
        <v>2053</v>
      </c>
      <c r="I4" s="3">
        <f>Investointikustannus!V23</f>
        <v>0</v>
      </c>
      <c r="J4" s="6">
        <f t="shared" si="1"/>
        <v>0</v>
      </c>
      <c r="L4">
        <f t="shared" ref="L4:L35" si="13">L3+1</f>
        <v>2046</v>
      </c>
      <c r="M4" s="1">
        <f t="shared" si="2"/>
        <v>1</v>
      </c>
      <c r="N4" s="1">
        <f>M4*(1+$B$9)^(L4-$B$2)</f>
        <v>1.014</v>
      </c>
      <c r="O4" s="1">
        <f t="shared" ref="O4:O34" si="14">N4/(1+$B$8)^(L4-$B$2)</f>
        <v>0.97971014492753628</v>
      </c>
      <c r="Q4">
        <f t="shared" ref="Q4:Q35" si="15">Q3+1</f>
        <v>2056</v>
      </c>
      <c r="R4" s="1">
        <f t="shared" ref="R4:R62" si="16">IF($B$17=0,1,MIN(1,(1+(Q4-$B$4)*$B$17)/($B$16/$B$15)))</f>
        <v>1</v>
      </c>
      <c r="S4" s="1">
        <f t="shared" si="3"/>
        <v>1.1652456892683656</v>
      </c>
      <c r="T4" s="1">
        <f t="shared" si="4"/>
        <v>0.79813004030585077</v>
      </c>
      <c r="V4">
        <f t="shared" ref="V4:V35" si="17">V3+1</f>
        <v>2046</v>
      </c>
      <c r="W4" s="1">
        <f t="shared" si="5"/>
        <v>1</v>
      </c>
      <c r="X4" s="1">
        <f t="shared" si="6"/>
        <v>0.96618357487922713</v>
      </c>
      <c r="Z4">
        <f t="shared" ref="Z4:Z35" si="18">Z3+1</f>
        <v>2056</v>
      </c>
      <c r="AA4" s="1">
        <f t="shared" si="7"/>
        <v>1</v>
      </c>
      <c r="AB4" s="1">
        <f t="shared" si="8"/>
        <v>0.68494571372924851</v>
      </c>
      <c r="AD4">
        <f t="shared" ref="AD4:AD35" si="19">AD3+1</f>
        <v>2046</v>
      </c>
      <c r="AE4" s="1">
        <f t="shared" si="9"/>
        <v>0.96618357487922713</v>
      </c>
      <c r="AG4">
        <f t="shared" ref="AG4:AG35" si="20">AG3+1</f>
        <v>2056</v>
      </c>
      <c r="AH4" s="1">
        <f t="shared" si="10"/>
        <v>0.68494571372924851</v>
      </c>
    </row>
    <row r="5" spans="1:34" x14ac:dyDescent="0.25">
      <c r="A5" t="s">
        <v>47</v>
      </c>
      <c r="B5" s="253">
        <v>2055</v>
      </c>
      <c r="D5">
        <f t="shared" si="11"/>
        <v>2042</v>
      </c>
      <c r="E5" s="3">
        <f>Investointikustannus!J23</f>
        <v>0</v>
      </c>
      <c r="F5" s="6">
        <f t="shared" si="0"/>
        <v>0</v>
      </c>
      <c r="G5" s="13"/>
      <c r="H5">
        <f t="shared" si="12"/>
        <v>2052</v>
      </c>
      <c r="I5" s="3">
        <f>Investointikustannus!U23</f>
        <v>0</v>
      </c>
      <c r="J5" s="6">
        <f t="shared" si="1"/>
        <v>0</v>
      </c>
      <c r="L5">
        <f t="shared" si="13"/>
        <v>2047</v>
      </c>
      <c r="M5" s="1">
        <f t="shared" si="2"/>
        <v>1</v>
      </c>
      <c r="N5" s="1">
        <f t="shared" ref="N5:N34" si="21">M5*(1+$B$9)^(L5-$B$2)</f>
        <v>1.0281960000000001</v>
      </c>
      <c r="O5" s="1">
        <f t="shared" si="14"/>
        <v>0.95983196807393423</v>
      </c>
      <c r="Q5">
        <f t="shared" si="15"/>
        <v>2057</v>
      </c>
      <c r="R5" s="1">
        <f t="shared" si="16"/>
        <v>1</v>
      </c>
      <c r="S5" s="1">
        <f t="shared" si="3"/>
        <v>1.1815591289181229</v>
      </c>
      <c r="T5" s="1">
        <f t="shared" si="4"/>
        <v>0.78193609745906556</v>
      </c>
      <c r="V5">
        <f t="shared" si="17"/>
        <v>2047</v>
      </c>
      <c r="W5" s="1">
        <f t="shared" si="5"/>
        <v>1</v>
      </c>
      <c r="X5" s="1">
        <f t="shared" si="6"/>
        <v>0.93351070036640305</v>
      </c>
      <c r="Z5">
        <f t="shared" si="18"/>
        <v>2057</v>
      </c>
      <c r="AA5" s="1">
        <f t="shared" si="7"/>
        <v>1</v>
      </c>
      <c r="AB5" s="1">
        <f t="shared" si="8"/>
        <v>0.66178329828912896</v>
      </c>
      <c r="AD5">
        <f t="shared" si="19"/>
        <v>2047</v>
      </c>
      <c r="AE5" s="1">
        <f t="shared" si="9"/>
        <v>0.93351070036640305</v>
      </c>
      <c r="AG5">
        <f t="shared" si="20"/>
        <v>2057</v>
      </c>
      <c r="AH5" s="1">
        <f t="shared" si="10"/>
        <v>0.66178329828912896</v>
      </c>
    </row>
    <row r="6" spans="1:34" x14ac:dyDescent="0.25">
      <c r="A6" t="s">
        <v>48</v>
      </c>
      <c r="B6" s="281">
        <v>2060</v>
      </c>
      <c r="D6">
        <f t="shared" si="11"/>
        <v>2041</v>
      </c>
      <c r="E6" s="3">
        <f>Investointikustannus!I23</f>
        <v>0</v>
      </c>
      <c r="F6" s="6">
        <f t="shared" si="0"/>
        <v>0</v>
      </c>
      <c r="G6" s="13"/>
      <c r="H6">
        <f t="shared" si="12"/>
        <v>2051</v>
      </c>
      <c r="I6" s="3">
        <f>Investointikustannus!T23</f>
        <v>0</v>
      </c>
      <c r="J6" s="6">
        <f t="shared" si="1"/>
        <v>0</v>
      </c>
      <c r="L6">
        <f t="shared" si="13"/>
        <v>2048</v>
      </c>
      <c r="M6" s="1">
        <f t="shared" si="2"/>
        <v>1</v>
      </c>
      <c r="N6" s="1">
        <f t="shared" si="21"/>
        <v>1.0425907440000002</v>
      </c>
      <c r="O6" s="1">
        <f t="shared" si="14"/>
        <v>0.94035711654779663</v>
      </c>
      <c r="Q6">
        <f t="shared" si="15"/>
        <v>2058</v>
      </c>
      <c r="R6" s="1">
        <f t="shared" si="16"/>
        <v>1</v>
      </c>
      <c r="S6" s="1">
        <f t="shared" si="3"/>
        <v>1.1981009567229766</v>
      </c>
      <c r="T6" s="1">
        <f t="shared" si="4"/>
        <v>0.76607072736569337</v>
      </c>
      <c r="V6">
        <f t="shared" si="17"/>
        <v>2048</v>
      </c>
      <c r="W6" s="1">
        <f t="shared" si="5"/>
        <v>1</v>
      </c>
      <c r="X6" s="1">
        <f t="shared" si="6"/>
        <v>0.90194270566802237</v>
      </c>
      <c r="Z6">
        <f t="shared" si="18"/>
        <v>2058</v>
      </c>
      <c r="AA6" s="1">
        <f t="shared" si="7"/>
        <v>1</v>
      </c>
      <c r="AB6" s="1">
        <f t="shared" si="8"/>
        <v>0.63940415293635666</v>
      </c>
      <c r="AD6">
        <f t="shared" si="19"/>
        <v>2048</v>
      </c>
      <c r="AE6" s="1">
        <f t="shared" si="9"/>
        <v>0.90194270566802237</v>
      </c>
      <c r="AG6">
        <f t="shared" si="20"/>
        <v>2058</v>
      </c>
      <c r="AH6" s="1">
        <f t="shared" si="10"/>
        <v>0.63940415293635666</v>
      </c>
    </row>
    <row r="7" spans="1:34" x14ac:dyDescent="0.25">
      <c r="A7" t="s">
        <v>49</v>
      </c>
      <c r="B7" s="154">
        <v>30</v>
      </c>
      <c r="D7">
        <f t="shared" si="11"/>
        <v>2040</v>
      </c>
      <c r="E7" s="3">
        <f>Investointikustannus!H23</f>
        <v>0</v>
      </c>
      <c r="F7" s="6">
        <f t="shared" si="0"/>
        <v>0</v>
      </c>
      <c r="G7" s="13"/>
      <c r="H7">
        <f t="shared" si="12"/>
        <v>2050</v>
      </c>
      <c r="I7" s="3">
        <f>Investointikustannus!S23</f>
        <v>0</v>
      </c>
      <c r="J7" s="6">
        <f t="shared" si="1"/>
        <v>0</v>
      </c>
      <c r="L7">
        <f t="shared" si="13"/>
        <v>2049</v>
      </c>
      <c r="M7" s="1">
        <f t="shared" si="2"/>
        <v>1</v>
      </c>
      <c r="N7" s="1">
        <f>M7*(1+$B$9)^(L7-$B$2)</f>
        <v>1.0571870144160003</v>
      </c>
      <c r="O7" s="1">
        <f t="shared" si="14"/>
        <v>0.92127740693668203</v>
      </c>
      <c r="Q7">
        <f t="shared" si="15"/>
        <v>2059</v>
      </c>
      <c r="R7" s="1">
        <f t="shared" si="16"/>
        <v>1</v>
      </c>
      <c r="S7" s="1">
        <f t="shared" si="3"/>
        <v>1.2148743701170983</v>
      </c>
      <c r="T7" s="1">
        <f t="shared" si="4"/>
        <v>0.75052726333218645</v>
      </c>
      <c r="V7">
        <f t="shared" si="17"/>
        <v>2049</v>
      </c>
      <c r="W7" s="1">
        <f t="shared" si="5"/>
        <v>1</v>
      </c>
      <c r="X7" s="1">
        <f t="shared" si="6"/>
        <v>0.87144222769857238</v>
      </c>
      <c r="Z7">
        <f t="shared" si="18"/>
        <v>2059</v>
      </c>
      <c r="AA7" s="1">
        <f t="shared" si="7"/>
        <v>1</v>
      </c>
      <c r="AB7" s="1">
        <f t="shared" si="8"/>
        <v>0.61778179027667302</v>
      </c>
      <c r="AD7">
        <f t="shared" si="19"/>
        <v>2049</v>
      </c>
      <c r="AE7" s="1">
        <f t="shared" si="9"/>
        <v>0.87144222769857238</v>
      </c>
      <c r="AG7">
        <f t="shared" si="20"/>
        <v>2059</v>
      </c>
      <c r="AH7" s="1">
        <f t="shared" si="10"/>
        <v>0.61778179027667302</v>
      </c>
    </row>
    <row r="8" spans="1:34" x14ac:dyDescent="0.25">
      <c r="A8" t="s">
        <v>50</v>
      </c>
      <c r="B8" s="169">
        <v>3.5000000000000003E-2</v>
      </c>
      <c r="D8">
        <f t="shared" si="11"/>
        <v>2039</v>
      </c>
      <c r="E8" s="3">
        <f>Investointikustannus!G23</f>
        <v>0</v>
      </c>
      <c r="F8" s="6">
        <f t="shared" si="0"/>
        <v>0</v>
      </c>
      <c r="G8" s="13"/>
      <c r="H8">
        <f t="shared" si="12"/>
        <v>2049</v>
      </c>
      <c r="I8" s="3">
        <f>Investointikustannus!R23</f>
        <v>0</v>
      </c>
      <c r="J8" s="6">
        <f t="shared" si="1"/>
        <v>0</v>
      </c>
      <c r="L8">
        <f t="shared" si="13"/>
        <v>2050</v>
      </c>
      <c r="M8" s="1">
        <f t="shared" si="2"/>
        <v>1</v>
      </c>
      <c r="N8" s="1">
        <f>M8*(1+$B$9)^(L8-$B$2)</f>
        <v>1.0719876326178244</v>
      </c>
      <c r="O8" s="1">
        <f t="shared" si="14"/>
        <v>0.90258482186840172</v>
      </c>
      <c r="Q8">
        <f t="shared" si="15"/>
        <v>2060</v>
      </c>
      <c r="R8" s="1">
        <f t="shared" si="16"/>
        <v>1</v>
      </c>
      <c r="S8" s="1">
        <f t="shared" si="3"/>
        <v>1.2318826112987378</v>
      </c>
      <c r="T8" s="1">
        <f t="shared" si="4"/>
        <v>0.73529917393124367</v>
      </c>
      <c r="V8">
        <f t="shared" si="17"/>
        <v>2050</v>
      </c>
      <c r="W8" s="1">
        <f t="shared" si="5"/>
        <v>1</v>
      </c>
      <c r="X8" s="1">
        <f t="shared" si="6"/>
        <v>0.84197316685852419</v>
      </c>
      <c r="Z8">
        <f t="shared" si="18"/>
        <v>2060</v>
      </c>
      <c r="AA8" s="1">
        <f t="shared" si="7"/>
        <v>1</v>
      </c>
      <c r="AB8" s="1">
        <f t="shared" si="8"/>
        <v>0.59689061862480497</v>
      </c>
      <c r="AD8">
        <f t="shared" si="19"/>
        <v>2050</v>
      </c>
      <c r="AE8" s="1">
        <f t="shared" si="9"/>
        <v>0.84197316685852419</v>
      </c>
      <c r="AG8">
        <f t="shared" si="20"/>
        <v>2060</v>
      </c>
      <c r="AH8" s="1">
        <f t="shared" si="10"/>
        <v>0.59689061862480497</v>
      </c>
    </row>
    <row r="9" spans="1:34" x14ac:dyDescent="0.25">
      <c r="A9" t="s">
        <v>51</v>
      </c>
      <c r="B9" s="265">
        <v>1.4E-2</v>
      </c>
      <c r="D9">
        <f t="shared" si="11"/>
        <v>2038</v>
      </c>
      <c r="E9" s="3">
        <f>Investointikustannus!F23</f>
        <v>0</v>
      </c>
      <c r="F9" s="6">
        <f t="shared" si="0"/>
        <v>0</v>
      </c>
      <c r="G9" s="13"/>
      <c r="H9">
        <f t="shared" si="12"/>
        <v>2048</v>
      </c>
      <c r="I9" s="3">
        <f>Investointikustannus!Q23</f>
        <v>0</v>
      </c>
      <c r="J9" s="6">
        <f t="shared" si="1"/>
        <v>0</v>
      </c>
      <c r="L9">
        <f t="shared" si="13"/>
        <v>2051</v>
      </c>
      <c r="M9" s="1">
        <f t="shared" si="2"/>
        <v>1</v>
      </c>
      <c r="N9" s="1">
        <f t="shared" si="21"/>
        <v>1.086995459474474</v>
      </c>
      <c r="O9" s="1">
        <f t="shared" si="14"/>
        <v>0.88427150664208631</v>
      </c>
      <c r="Q9">
        <f t="shared" si="15"/>
        <v>2061</v>
      </c>
      <c r="R9" s="1">
        <f t="shared" si="16"/>
        <v>1</v>
      </c>
      <c r="S9" s="1">
        <f t="shared" si="3"/>
        <v>1.2491289678569204</v>
      </c>
      <c r="T9" s="1">
        <f t="shared" si="4"/>
        <v>0.72038006025727674</v>
      </c>
      <c r="V9">
        <f t="shared" si="17"/>
        <v>2051</v>
      </c>
      <c r="W9" s="1">
        <f t="shared" si="5"/>
        <v>1</v>
      </c>
      <c r="X9" s="1">
        <f t="shared" si="6"/>
        <v>0.81350064430775282</v>
      </c>
      <c r="Z9">
        <f t="shared" si="18"/>
        <v>2061</v>
      </c>
      <c r="AA9" s="1">
        <f t="shared" si="7"/>
        <v>1</v>
      </c>
      <c r="AB9" s="1">
        <f t="shared" si="8"/>
        <v>0.57670591171478747</v>
      </c>
      <c r="AD9">
        <f t="shared" si="19"/>
        <v>2051</v>
      </c>
      <c r="AE9" s="1">
        <f t="shared" si="9"/>
        <v>0.81350064430775282</v>
      </c>
      <c r="AG9">
        <f t="shared" si="20"/>
        <v>2061</v>
      </c>
      <c r="AH9" s="1">
        <f t="shared" si="10"/>
        <v>0.57670591171478747</v>
      </c>
    </row>
    <row r="10" spans="1:34" x14ac:dyDescent="0.25">
      <c r="A10" t="s">
        <v>52</v>
      </c>
      <c r="B10" s="154">
        <v>1.2</v>
      </c>
      <c r="D10">
        <f t="shared" si="11"/>
        <v>2037</v>
      </c>
      <c r="E10" s="3">
        <f>Investointikustannus!E23</f>
        <v>0</v>
      </c>
      <c r="F10" s="6">
        <f t="shared" si="0"/>
        <v>0</v>
      </c>
      <c r="G10" s="13"/>
      <c r="H10">
        <f t="shared" si="12"/>
        <v>2047</v>
      </c>
      <c r="I10" s="3">
        <f>Investointikustannus!P23</f>
        <v>0</v>
      </c>
      <c r="J10" s="6">
        <f t="shared" si="1"/>
        <v>0</v>
      </c>
      <c r="L10">
        <f t="shared" si="13"/>
        <v>2052</v>
      </c>
      <c r="M10" s="1">
        <f t="shared" si="2"/>
        <v>1</v>
      </c>
      <c r="N10" s="1">
        <f t="shared" si="21"/>
        <v>1.1022133959071165</v>
      </c>
      <c r="O10" s="1">
        <f>N10/(1+$B$8)^(L10-$B$2)</f>
        <v>0.86632976592760924</v>
      </c>
      <c r="Q10">
        <f t="shared" si="15"/>
        <v>2062</v>
      </c>
      <c r="R10" s="1">
        <f t="shared" si="16"/>
        <v>1</v>
      </c>
      <c r="S10" s="1">
        <f t="shared" si="3"/>
        <v>1.2666167734069174</v>
      </c>
      <c r="T10" s="1">
        <f t="shared" si="4"/>
        <v>0.70576365323756396</v>
      </c>
      <c r="V10">
        <f t="shared" si="17"/>
        <v>2052</v>
      </c>
      <c r="W10" s="1">
        <f t="shared" si="5"/>
        <v>1</v>
      </c>
      <c r="X10" s="1">
        <f t="shared" si="6"/>
        <v>0.78599096068381913</v>
      </c>
      <c r="Z10">
        <f t="shared" si="18"/>
        <v>2062</v>
      </c>
      <c r="AA10" s="1">
        <f t="shared" si="7"/>
        <v>1</v>
      </c>
      <c r="AB10" s="1">
        <f t="shared" si="8"/>
        <v>0.55720377943457733</v>
      </c>
      <c r="AD10">
        <f t="shared" si="19"/>
        <v>2052</v>
      </c>
      <c r="AE10" s="1">
        <f t="shared" si="9"/>
        <v>0.78599096068381913</v>
      </c>
      <c r="AG10">
        <f t="shared" si="20"/>
        <v>2062</v>
      </c>
      <c r="AH10" s="1">
        <f t="shared" si="10"/>
        <v>0.55720377943457733</v>
      </c>
    </row>
    <row r="11" spans="1:34" x14ac:dyDescent="0.25">
      <c r="A11" t="s">
        <v>53</v>
      </c>
      <c r="B11" s="174">
        <v>300</v>
      </c>
      <c r="D11">
        <f t="shared" si="11"/>
        <v>2036</v>
      </c>
      <c r="E11" s="3">
        <f>Investointikustannus!D23</f>
        <v>0</v>
      </c>
      <c r="F11" s="6">
        <f t="shared" si="0"/>
        <v>0</v>
      </c>
      <c r="G11" s="13"/>
      <c r="H11">
        <f t="shared" si="12"/>
        <v>2046</v>
      </c>
      <c r="I11" s="3">
        <f>Investointikustannus!O23</f>
        <v>0</v>
      </c>
      <c r="J11" s="6">
        <f t="shared" si="1"/>
        <v>0</v>
      </c>
      <c r="L11">
        <f t="shared" si="13"/>
        <v>2053</v>
      </c>
      <c r="M11" s="1">
        <f t="shared" si="2"/>
        <v>1</v>
      </c>
      <c r="N11" s="1">
        <f t="shared" si="21"/>
        <v>1.1176443834498164</v>
      </c>
      <c r="O11" s="1">
        <f t="shared" si="14"/>
        <v>0.84875206053197694</v>
      </c>
      <c r="Q11">
        <f t="shared" si="15"/>
        <v>2063</v>
      </c>
      <c r="R11" s="1">
        <f t="shared" si="16"/>
        <v>1</v>
      </c>
      <c r="S11" s="1">
        <f t="shared" si="3"/>
        <v>1.2843494082346143</v>
      </c>
      <c r="T11" s="1">
        <f t="shared" si="4"/>
        <v>0.69144381099796137</v>
      </c>
      <c r="V11">
        <f t="shared" si="17"/>
        <v>2053</v>
      </c>
      <c r="W11" s="1">
        <f t="shared" si="5"/>
        <v>1</v>
      </c>
      <c r="X11" s="1">
        <f t="shared" si="6"/>
        <v>0.75941155621625056</v>
      </c>
      <c r="Z11">
        <f t="shared" si="18"/>
        <v>2063</v>
      </c>
      <c r="AA11" s="1">
        <f t="shared" si="7"/>
        <v>1</v>
      </c>
      <c r="AB11" s="1">
        <f t="shared" si="8"/>
        <v>0.53836113955031628</v>
      </c>
      <c r="AD11">
        <f t="shared" si="19"/>
        <v>2053</v>
      </c>
      <c r="AE11" s="1">
        <f t="shared" si="9"/>
        <v>0.75941155621625056</v>
      </c>
      <c r="AG11">
        <f t="shared" si="20"/>
        <v>2063</v>
      </c>
      <c r="AH11" s="1">
        <f t="shared" si="10"/>
        <v>0.53836113955031628</v>
      </c>
    </row>
    <row r="12" spans="1:34" x14ac:dyDescent="0.25">
      <c r="D12">
        <f t="shared" si="11"/>
        <v>2035</v>
      </c>
      <c r="E12" s="4">
        <f>Investointikustannus!C23</f>
        <v>0</v>
      </c>
      <c r="F12" s="7">
        <f t="shared" si="0"/>
        <v>0</v>
      </c>
      <c r="G12" s="13"/>
      <c r="H12">
        <f t="shared" si="12"/>
        <v>2045</v>
      </c>
      <c r="I12" s="4">
        <f>Investointikustannus!N23</f>
        <v>0</v>
      </c>
      <c r="J12" s="7">
        <f t="shared" si="1"/>
        <v>0</v>
      </c>
      <c r="L12">
        <f t="shared" si="13"/>
        <v>2054</v>
      </c>
      <c r="M12" s="1">
        <f t="shared" si="2"/>
        <v>1</v>
      </c>
      <c r="N12" s="1">
        <f t="shared" si="21"/>
        <v>1.133291404818114</v>
      </c>
      <c r="O12" s="1">
        <f t="shared" si="14"/>
        <v>0.83153100423132831</v>
      </c>
      <c r="Q12">
        <f t="shared" si="15"/>
        <v>2064</v>
      </c>
      <c r="R12" s="1">
        <f t="shared" si="16"/>
        <v>1</v>
      </c>
      <c r="S12" s="1">
        <f t="shared" si="3"/>
        <v>1.3023302999498989</v>
      </c>
      <c r="T12" s="1">
        <f t="shared" si="4"/>
        <v>0.67741451628206073</v>
      </c>
      <c r="V12">
        <f t="shared" si="17"/>
        <v>2054</v>
      </c>
      <c r="W12" s="1">
        <f t="shared" si="5"/>
        <v>1</v>
      </c>
      <c r="X12" s="1">
        <f t="shared" si="6"/>
        <v>0.73373097218961414</v>
      </c>
      <c r="Z12">
        <f t="shared" si="18"/>
        <v>2064</v>
      </c>
      <c r="AA12" s="1">
        <f t="shared" si="7"/>
        <v>1</v>
      </c>
      <c r="AB12" s="1">
        <f t="shared" si="8"/>
        <v>0.52015569038677911</v>
      </c>
      <c r="AD12">
        <f t="shared" si="19"/>
        <v>2054</v>
      </c>
      <c r="AE12" s="1">
        <f t="shared" si="9"/>
        <v>0.73373097218961414</v>
      </c>
      <c r="AG12">
        <f t="shared" si="20"/>
        <v>2064</v>
      </c>
      <c r="AH12" s="1">
        <f t="shared" si="10"/>
        <v>0.52015569038677911</v>
      </c>
    </row>
    <row r="13" spans="1:34" x14ac:dyDescent="0.25">
      <c r="A13" t="s">
        <v>262</v>
      </c>
      <c r="B13" s="267">
        <f>((1+B9)^(B3-B1))</f>
        <v>1.3577975163585085</v>
      </c>
      <c r="D13" t="s">
        <v>54</v>
      </c>
      <c r="E13">
        <f>SUM(E3:E12)</f>
        <v>0</v>
      </c>
      <c r="F13" s="13">
        <f>SUM(F3:F12)</f>
        <v>0</v>
      </c>
      <c r="G13" s="13"/>
      <c r="H13" t="s">
        <v>54</v>
      </c>
      <c r="I13">
        <f>SUM(I3:I12)</f>
        <v>0</v>
      </c>
      <c r="J13" s="13">
        <f>SUM(J3:J12)</f>
        <v>0</v>
      </c>
      <c r="L13">
        <f t="shared" si="13"/>
        <v>2055</v>
      </c>
      <c r="M13" s="1">
        <f t="shared" si="2"/>
        <v>1</v>
      </c>
      <c r="N13" s="1">
        <f t="shared" si="21"/>
        <v>1.1491574844855676</v>
      </c>
      <c r="O13" s="1">
        <f t="shared" si="14"/>
        <v>0.81465936066721456</v>
      </c>
      <c r="Q13">
        <f t="shared" si="15"/>
        <v>2065</v>
      </c>
      <c r="R13" s="1">
        <f t="shared" si="16"/>
        <v>1</v>
      </c>
      <c r="S13" s="1">
        <f t="shared" si="3"/>
        <v>1.3205629241491976</v>
      </c>
      <c r="T13" s="1">
        <f t="shared" si="4"/>
        <v>0.6636698739227147</v>
      </c>
      <c r="V13">
        <f t="shared" si="17"/>
        <v>2055</v>
      </c>
      <c r="W13" s="1">
        <f t="shared" si="5"/>
        <v>1</v>
      </c>
      <c r="X13" s="1">
        <f t="shared" si="6"/>
        <v>0.70891881370977217</v>
      </c>
      <c r="Z13">
        <f t="shared" si="18"/>
        <v>2065</v>
      </c>
      <c r="AA13" s="1">
        <f t="shared" si="7"/>
        <v>1</v>
      </c>
      <c r="AB13" s="1">
        <f t="shared" si="8"/>
        <v>0.50256588443167061</v>
      </c>
      <c r="AD13">
        <f t="shared" si="19"/>
        <v>2055</v>
      </c>
      <c r="AE13" s="1">
        <f t="shared" si="9"/>
        <v>0.70891881370977217</v>
      </c>
      <c r="AG13">
        <f t="shared" si="20"/>
        <v>2065</v>
      </c>
      <c r="AH13" s="1">
        <f t="shared" si="10"/>
        <v>0.50256588443167061</v>
      </c>
    </row>
    <row r="14" spans="1:34" x14ac:dyDescent="0.25">
      <c r="L14">
        <f t="shared" si="13"/>
        <v>2056</v>
      </c>
      <c r="M14" s="1">
        <f t="shared" si="2"/>
        <v>1</v>
      </c>
      <c r="N14" s="1">
        <f t="shared" si="21"/>
        <v>1.1652456892683656</v>
      </c>
      <c r="O14" s="1">
        <f t="shared" si="14"/>
        <v>0.79813004030585077</v>
      </c>
      <c r="Q14">
        <f t="shared" si="15"/>
        <v>2066</v>
      </c>
      <c r="R14" s="1">
        <f t="shared" si="16"/>
        <v>1</v>
      </c>
      <c r="S14" s="1">
        <f t="shared" si="3"/>
        <v>1.3390508050872865</v>
      </c>
      <c r="T14" s="1">
        <f t="shared" si="4"/>
        <v>0.65020410836486264</v>
      </c>
      <c r="V14">
        <f t="shared" si="17"/>
        <v>2056</v>
      </c>
      <c r="W14" s="1">
        <f t="shared" si="5"/>
        <v>1</v>
      </c>
      <c r="X14" s="1">
        <f t="shared" si="6"/>
        <v>0.68494571372924851</v>
      </c>
      <c r="Z14">
        <f t="shared" si="18"/>
        <v>2066</v>
      </c>
      <c r="AA14" s="1">
        <f t="shared" si="7"/>
        <v>1</v>
      </c>
      <c r="AB14" s="1">
        <f t="shared" si="8"/>
        <v>0.48557090283253213</v>
      </c>
      <c r="AD14">
        <f t="shared" si="19"/>
        <v>2056</v>
      </c>
      <c r="AE14" s="1">
        <f t="shared" si="9"/>
        <v>0.68494571372924851</v>
      </c>
      <c r="AG14">
        <f t="shared" si="20"/>
        <v>2066</v>
      </c>
      <c r="AH14" s="1">
        <f t="shared" si="10"/>
        <v>0.48557090283253213</v>
      </c>
    </row>
    <row r="15" spans="1:34" x14ac:dyDescent="0.25">
      <c r="A15" t="s">
        <v>55</v>
      </c>
      <c r="B15" s="5">
        <v>100</v>
      </c>
      <c r="G15" s="13"/>
      <c r="J15" s="13"/>
      <c r="L15">
        <f t="shared" si="13"/>
        <v>2057</v>
      </c>
      <c r="M15" s="1">
        <f t="shared" si="2"/>
        <v>1</v>
      </c>
      <c r="N15" s="1">
        <f t="shared" si="21"/>
        <v>1.1815591289181229</v>
      </c>
      <c r="O15" s="1">
        <f t="shared" si="14"/>
        <v>0.78193609745906556</v>
      </c>
      <c r="Q15">
        <f t="shared" si="15"/>
        <v>2067</v>
      </c>
      <c r="R15" s="1">
        <f t="shared" si="16"/>
        <v>1</v>
      </c>
      <c r="S15" s="1">
        <f t="shared" si="3"/>
        <v>1.3577975163585085</v>
      </c>
      <c r="T15" s="1">
        <f t="shared" si="4"/>
        <v>0.63701156123861913</v>
      </c>
      <c r="V15">
        <f t="shared" si="17"/>
        <v>2057</v>
      </c>
      <c r="W15" s="1">
        <f t="shared" si="5"/>
        <v>1</v>
      </c>
      <c r="X15" s="1">
        <f t="shared" si="6"/>
        <v>0.66178329828912896</v>
      </c>
      <c r="Z15">
        <f t="shared" si="18"/>
        <v>2067</v>
      </c>
      <c r="AA15" s="1">
        <f t="shared" si="7"/>
        <v>1</v>
      </c>
      <c r="AB15" s="1">
        <f t="shared" si="8"/>
        <v>0.46915063075606966</v>
      </c>
      <c r="AD15">
        <f t="shared" si="19"/>
        <v>2057</v>
      </c>
      <c r="AE15" s="1">
        <f t="shared" si="9"/>
        <v>0.66178329828912896</v>
      </c>
      <c r="AG15">
        <f t="shared" si="20"/>
        <v>2067</v>
      </c>
      <c r="AH15" s="1">
        <f t="shared" si="10"/>
        <v>0.46915063075606966</v>
      </c>
    </row>
    <row r="16" spans="1:34" x14ac:dyDescent="0.25">
      <c r="A16" t="s">
        <v>56</v>
      </c>
      <c r="B16" s="7" t="str">
        <f>IF(Kayttajahyodyt!M21=0,"Ennuste 2 puuttuu",Kayttajahyodyt!M21/Kayttajahyodyt!M16*100)</f>
        <v>Ennuste 2 puuttuu</v>
      </c>
      <c r="L16">
        <f t="shared" si="13"/>
        <v>2058</v>
      </c>
      <c r="M16" s="1">
        <f t="shared" si="2"/>
        <v>1</v>
      </c>
      <c r="N16" s="1">
        <f t="shared" si="21"/>
        <v>1.1981009567229766</v>
      </c>
      <c r="O16" s="1">
        <f t="shared" si="14"/>
        <v>0.76607072736569337</v>
      </c>
      <c r="Q16">
        <f t="shared" si="15"/>
        <v>2068</v>
      </c>
      <c r="R16" s="1">
        <f t="shared" si="16"/>
        <v>1</v>
      </c>
      <c r="S16" s="1">
        <f t="shared" si="3"/>
        <v>1.3768066815875277</v>
      </c>
      <c r="T16" s="1">
        <f t="shared" si="4"/>
        <v>0.62408668898160369</v>
      </c>
      <c r="V16">
        <f t="shared" si="17"/>
        <v>2058</v>
      </c>
      <c r="W16" s="1">
        <f t="shared" si="5"/>
        <v>1</v>
      </c>
      <c r="X16" s="1">
        <f t="shared" si="6"/>
        <v>0.63940415293635666</v>
      </c>
      <c r="Z16">
        <f t="shared" si="18"/>
        <v>2068</v>
      </c>
      <c r="AA16" s="1">
        <f t="shared" si="7"/>
        <v>1</v>
      </c>
      <c r="AB16" s="1">
        <f t="shared" si="8"/>
        <v>0.45328563358074364</v>
      </c>
      <c r="AD16">
        <f t="shared" si="19"/>
        <v>2058</v>
      </c>
      <c r="AE16" s="1">
        <f t="shared" si="9"/>
        <v>0.63940415293635666</v>
      </c>
      <c r="AG16">
        <f t="shared" si="20"/>
        <v>2068</v>
      </c>
      <c r="AH16" s="1">
        <f t="shared" si="10"/>
        <v>0.45328563358074364</v>
      </c>
    </row>
    <row r="17" spans="1:34" x14ac:dyDescent="0.25">
      <c r="A17" t="s">
        <v>57</v>
      </c>
      <c r="B17" s="152">
        <f>IF(AND(ISNUMBER(B6),B6&gt;B4,ISNUMBER(B16)),(B16/B15-1)/(B6-B4),0)</f>
        <v>0</v>
      </c>
      <c r="L17">
        <f t="shared" si="13"/>
        <v>2059</v>
      </c>
      <c r="M17" s="1">
        <f t="shared" si="2"/>
        <v>1</v>
      </c>
      <c r="N17" s="1">
        <f t="shared" si="21"/>
        <v>1.2148743701170983</v>
      </c>
      <c r="O17" s="1">
        <f t="shared" si="14"/>
        <v>0.75052726333218645</v>
      </c>
      <c r="Q17">
        <f t="shared" si="15"/>
        <v>2069</v>
      </c>
      <c r="R17" s="1">
        <f t="shared" si="16"/>
        <v>1</v>
      </c>
      <c r="S17" s="1">
        <f t="shared" si="3"/>
        <v>1.3960819751297533</v>
      </c>
      <c r="T17" s="1">
        <f t="shared" si="4"/>
        <v>0.61142406050951337</v>
      </c>
      <c r="V17">
        <f t="shared" si="17"/>
        <v>2059</v>
      </c>
      <c r="W17" s="1">
        <f t="shared" si="5"/>
        <v>1</v>
      </c>
      <c r="X17" s="1">
        <f t="shared" si="6"/>
        <v>0.61778179027667302</v>
      </c>
      <c r="Z17">
        <f t="shared" si="18"/>
        <v>2069</v>
      </c>
      <c r="AA17" s="1">
        <f t="shared" si="7"/>
        <v>1</v>
      </c>
      <c r="AB17" s="1">
        <f t="shared" si="8"/>
        <v>0.43795713389443841</v>
      </c>
      <c r="AD17">
        <f t="shared" si="19"/>
        <v>2059</v>
      </c>
      <c r="AE17" s="1">
        <f t="shared" si="9"/>
        <v>0.61778179027667302</v>
      </c>
      <c r="AG17">
        <f t="shared" si="20"/>
        <v>2069</v>
      </c>
      <c r="AH17" s="1">
        <f t="shared" si="10"/>
        <v>0.43795713389443841</v>
      </c>
    </row>
    <row r="18" spans="1:34" x14ac:dyDescent="0.25">
      <c r="L18">
        <f t="shared" si="13"/>
        <v>2060</v>
      </c>
      <c r="M18" s="1">
        <f t="shared" si="2"/>
        <v>1</v>
      </c>
      <c r="N18" s="1">
        <f t="shared" si="21"/>
        <v>1.2318826112987378</v>
      </c>
      <c r="O18" s="1">
        <f t="shared" si="14"/>
        <v>0.73529917393124367</v>
      </c>
      <c r="Q18">
        <f t="shared" si="15"/>
        <v>2070</v>
      </c>
      <c r="R18" s="1">
        <f t="shared" si="16"/>
        <v>1</v>
      </c>
      <c r="S18" s="1">
        <f t="shared" si="3"/>
        <v>1.41562712278157</v>
      </c>
      <c r="T18" s="1">
        <f t="shared" si="4"/>
        <v>0.59901835493395816</v>
      </c>
      <c r="V18">
        <f t="shared" si="17"/>
        <v>2060</v>
      </c>
      <c r="W18" s="1">
        <f t="shared" si="5"/>
        <v>1</v>
      </c>
      <c r="X18" s="1">
        <f t="shared" si="6"/>
        <v>0.59689061862480497</v>
      </c>
      <c r="Z18">
        <f t="shared" si="18"/>
        <v>2070</v>
      </c>
      <c r="AA18" s="1">
        <f t="shared" si="7"/>
        <v>1</v>
      </c>
      <c r="AB18" s="1">
        <f t="shared" si="8"/>
        <v>0.42314698926998884</v>
      </c>
      <c r="AD18">
        <f t="shared" si="19"/>
        <v>2060</v>
      </c>
      <c r="AE18" s="1">
        <f t="shared" si="9"/>
        <v>0.59689061862480497</v>
      </c>
      <c r="AG18">
        <f t="shared" si="20"/>
        <v>2070</v>
      </c>
      <c r="AH18" s="1">
        <f t="shared" si="10"/>
        <v>0.42314698926998884</v>
      </c>
    </row>
    <row r="19" spans="1:34" x14ac:dyDescent="0.25">
      <c r="A19" t="s">
        <v>58</v>
      </c>
      <c r="B19" s="1">
        <f ca="1">IF(OR(B5&gt;B3+B7,NOT(ISNUMBER(B5)),NOT(ISNUMBER(B16))),SUM(OFFSET(O3,0,0,B7)),IF(B5-B3&lt;=0,"Avausvuosi 2 tulee olla ensimmäisen avausvuoden jälkeen",SUM(OFFSET(O3,0,0,B5-B3))))</f>
        <v>22.638659723075953</v>
      </c>
      <c r="L19">
        <f t="shared" si="13"/>
        <v>2061</v>
      </c>
      <c r="M19" s="1">
        <f t="shared" si="2"/>
        <v>1</v>
      </c>
      <c r="N19" s="1">
        <f t="shared" si="21"/>
        <v>1.2491289678569204</v>
      </c>
      <c r="O19" s="1">
        <f t="shared" si="14"/>
        <v>0.72038006025727674</v>
      </c>
      <c r="Q19">
        <f t="shared" si="15"/>
        <v>2071</v>
      </c>
      <c r="R19" s="1">
        <f t="shared" si="16"/>
        <v>1</v>
      </c>
      <c r="S19" s="1">
        <f t="shared" si="3"/>
        <v>1.4354459025005122</v>
      </c>
      <c r="T19" s="1">
        <f t="shared" si="4"/>
        <v>0.58686435932660264</v>
      </c>
      <c r="V19">
        <f t="shared" si="17"/>
        <v>2061</v>
      </c>
      <c r="W19" s="1">
        <f t="shared" si="5"/>
        <v>1</v>
      </c>
      <c r="X19" s="1">
        <f t="shared" si="6"/>
        <v>0.57670591171478747</v>
      </c>
      <c r="Z19">
        <f t="shared" si="18"/>
        <v>2071</v>
      </c>
      <c r="AA19" s="1">
        <f t="shared" si="7"/>
        <v>1</v>
      </c>
      <c r="AB19" s="1">
        <f t="shared" si="8"/>
        <v>0.40883767079225974</v>
      </c>
      <c r="AD19">
        <f t="shared" si="19"/>
        <v>2061</v>
      </c>
      <c r="AE19" s="1">
        <f t="shared" si="9"/>
        <v>0.57670591171478747</v>
      </c>
      <c r="AG19">
        <f t="shared" si="20"/>
        <v>2071</v>
      </c>
      <c r="AH19" s="1">
        <f t="shared" si="10"/>
        <v>0.40883767079225974</v>
      </c>
    </row>
    <row r="20" spans="1:34" x14ac:dyDescent="0.25">
      <c r="A20" t="s">
        <v>59</v>
      </c>
      <c r="B20" s="1" t="str">
        <f ca="1">IF(AND(ISNUMBER(B5),ISNUMBER(B16)),IF(B5-B3&lt;=0,"Avausvuosi 2 tulee olla ensimmäisen avausvuoden jälkeen",IF(B5-B3&gt;=B7,"Avausvuosi 2 ei ole tarkastelujakson sisällä",SUM(OFFSET(T3,0,0,B7-(B5-B3))))),"Ennuste/avausvuosi 2 puuttuu")</f>
        <v>Ennuste/avausvuosi 2 puuttuu</v>
      </c>
      <c r="L20">
        <f t="shared" si="13"/>
        <v>2062</v>
      </c>
      <c r="M20" s="1">
        <f t="shared" si="2"/>
        <v>1</v>
      </c>
      <c r="N20" s="1">
        <f t="shared" si="21"/>
        <v>1.2666167734069174</v>
      </c>
      <c r="O20" s="1">
        <f t="shared" si="14"/>
        <v>0.70576365323756396</v>
      </c>
      <c r="Q20">
        <f t="shared" si="15"/>
        <v>2072</v>
      </c>
      <c r="R20" s="1">
        <f t="shared" si="16"/>
        <v>1</v>
      </c>
      <c r="S20" s="1">
        <f t="shared" si="3"/>
        <v>1.4555421451355193</v>
      </c>
      <c r="T20" s="1">
        <f t="shared" si="4"/>
        <v>0.57495696652867145</v>
      </c>
      <c r="V20">
        <f t="shared" si="17"/>
        <v>2062</v>
      </c>
      <c r="W20" s="1">
        <f t="shared" si="5"/>
        <v>1</v>
      </c>
      <c r="X20" s="1">
        <f t="shared" si="6"/>
        <v>0.55720377943457733</v>
      </c>
      <c r="Z20">
        <f t="shared" si="18"/>
        <v>2072</v>
      </c>
      <c r="AA20" s="1">
        <f t="shared" si="7"/>
        <v>1</v>
      </c>
      <c r="AB20" s="1">
        <f t="shared" si="8"/>
        <v>0.39501224231136206</v>
      </c>
      <c r="AD20">
        <f t="shared" si="19"/>
        <v>2062</v>
      </c>
      <c r="AE20" s="1">
        <f t="shared" si="9"/>
        <v>0.55720377943457733</v>
      </c>
      <c r="AG20">
        <f t="shared" si="20"/>
        <v>2072</v>
      </c>
      <c r="AH20" s="1">
        <f t="shared" si="10"/>
        <v>0.39501224231136206</v>
      </c>
    </row>
    <row r="21" spans="1:34" x14ac:dyDescent="0.25">
      <c r="L21">
        <f t="shared" si="13"/>
        <v>2063</v>
      </c>
      <c r="M21" s="1">
        <f t="shared" si="2"/>
        <v>1</v>
      </c>
      <c r="N21" s="1">
        <f t="shared" si="21"/>
        <v>1.2843494082346143</v>
      </c>
      <c r="O21" s="1">
        <f t="shared" si="14"/>
        <v>0.69144381099796137</v>
      </c>
      <c r="Q21">
        <f t="shared" si="15"/>
        <v>2073</v>
      </c>
      <c r="R21" s="1">
        <f t="shared" si="16"/>
        <v>1</v>
      </c>
      <c r="S21" s="1">
        <f t="shared" si="3"/>
        <v>1.4759197351674167</v>
      </c>
      <c r="T21" s="1">
        <f t="shared" si="4"/>
        <v>0.56329117300490139</v>
      </c>
      <c r="V21">
        <f t="shared" si="17"/>
        <v>2063</v>
      </c>
      <c r="W21" s="1">
        <f t="shared" si="5"/>
        <v>1</v>
      </c>
      <c r="X21" s="1">
        <f t="shared" si="6"/>
        <v>0.53836113955031628</v>
      </c>
      <c r="Z21">
        <f t="shared" si="18"/>
        <v>2073</v>
      </c>
      <c r="AA21" s="1">
        <f t="shared" si="7"/>
        <v>1</v>
      </c>
      <c r="AB21" s="1">
        <f t="shared" si="8"/>
        <v>0.38165434039745127</v>
      </c>
      <c r="AD21">
        <f t="shared" si="19"/>
        <v>2063</v>
      </c>
      <c r="AE21" s="1">
        <f t="shared" si="9"/>
        <v>0.53836113955031628</v>
      </c>
      <c r="AG21">
        <f t="shared" si="20"/>
        <v>2073</v>
      </c>
      <c r="AH21" s="1">
        <f t="shared" si="10"/>
        <v>0.38165434039745127</v>
      </c>
    </row>
    <row r="22" spans="1:34" x14ac:dyDescent="0.25">
      <c r="A22" t="s">
        <v>60</v>
      </c>
      <c r="B22">
        <v>100</v>
      </c>
      <c r="L22">
        <f t="shared" si="13"/>
        <v>2064</v>
      </c>
      <c r="M22" s="1">
        <f t="shared" si="2"/>
        <v>1</v>
      </c>
      <c r="N22" s="1">
        <f t="shared" si="21"/>
        <v>1.3023302999498989</v>
      </c>
      <c r="O22" s="1">
        <f t="shared" si="14"/>
        <v>0.67741451628206073</v>
      </c>
      <c r="Q22">
        <f t="shared" si="15"/>
        <v>2074</v>
      </c>
      <c r="R22" s="1">
        <f t="shared" si="16"/>
        <v>1</v>
      </c>
      <c r="S22" s="1">
        <f t="shared" si="3"/>
        <v>1.4965826114597607</v>
      </c>
      <c r="T22" s="1">
        <f t="shared" si="4"/>
        <v>0.55186207674103405</v>
      </c>
      <c r="V22">
        <f t="shared" si="17"/>
        <v>2064</v>
      </c>
      <c r="W22" s="1">
        <f t="shared" si="5"/>
        <v>1</v>
      </c>
      <c r="X22" s="1">
        <f t="shared" si="6"/>
        <v>0.52015569038677911</v>
      </c>
      <c r="Z22">
        <f t="shared" si="18"/>
        <v>2074</v>
      </c>
      <c r="AA22" s="1">
        <f t="shared" si="7"/>
        <v>1</v>
      </c>
      <c r="AB22" s="1">
        <f t="shared" si="8"/>
        <v>0.36874815497338298</v>
      </c>
      <c r="AD22">
        <f t="shared" si="19"/>
        <v>2064</v>
      </c>
      <c r="AE22" s="1">
        <f t="shared" si="9"/>
        <v>0.52015569038677911</v>
      </c>
      <c r="AG22">
        <f t="shared" si="20"/>
        <v>2074</v>
      </c>
      <c r="AH22" s="1">
        <f t="shared" si="10"/>
        <v>0.36874815497338298</v>
      </c>
    </row>
    <row r="23" spans="1:34" x14ac:dyDescent="0.25">
      <c r="A23" t="s">
        <v>61</v>
      </c>
      <c r="B23" t="str">
        <f>IF(Tuottajahyodyt!L68=0,"Ennuste 2 puuttuu",(Kayttajahyodyt!M34+Kayttajahyodyt!M49+Tuottajahyodyt!F46-Tuottajahyodyt!L68-Julkistaloudelliset!C14)/(Kayttajahyodyt!M29+Kayttajahyodyt!M44+Tuottajahyodyt!F43-Tuottajahyodyt!L60-Julkistaloudelliset!C9)*100)</f>
        <v>Ennuste 2 puuttuu</v>
      </c>
      <c r="L23">
        <f t="shared" si="13"/>
        <v>2065</v>
      </c>
      <c r="M23" s="1">
        <f t="shared" si="2"/>
        <v>1</v>
      </c>
      <c r="N23" s="1">
        <f t="shared" si="21"/>
        <v>1.3205629241491976</v>
      </c>
      <c r="O23" s="1">
        <f t="shared" si="14"/>
        <v>0.6636698739227147</v>
      </c>
      <c r="Q23">
        <f t="shared" si="15"/>
        <v>2075</v>
      </c>
      <c r="R23" s="1">
        <f t="shared" si="16"/>
        <v>1</v>
      </c>
      <c r="S23" s="1">
        <f t="shared" si="3"/>
        <v>1.5175347680201974</v>
      </c>
      <c r="T23" s="1">
        <f t="shared" si="4"/>
        <v>0.54066487518396955</v>
      </c>
      <c r="V23">
        <f t="shared" si="17"/>
        <v>2065</v>
      </c>
      <c r="W23" s="1">
        <f t="shared" si="5"/>
        <v>1</v>
      </c>
      <c r="X23" s="1">
        <f t="shared" si="6"/>
        <v>0.50256588443167061</v>
      </c>
      <c r="Z23">
        <f t="shared" si="18"/>
        <v>2075</v>
      </c>
      <c r="AA23" s="1">
        <f t="shared" si="7"/>
        <v>1</v>
      </c>
      <c r="AB23" s="1">
        <f t="shared" si="8"/>
        <v>0.35627841060230236</v>
      </c>
      <c r="AD23">
        <f t="shared" si="19"/>
        <v>2065</v>
      </c>
      <c r="AE23" s="1">
        <f t="shared" si="9"/>
        <v>0.50256588443167061</v>
      </c>
      <c r="AG23">
        <f t="shared" si="20"/>
        <v>2075</v>
      </c>
      <c r="AH23" s="1">
        <f t="shared" si="10"/>
        <v>0.35627841060230236</v>
      </c>
    </row>
    <row r="24" spans="1:34" x14ac:dyDescent="0.25">
      <c r="A24" t="s">
        <v>62</v>
      </c>
      <c r="B24" s="153">
        <f>IF(AND(ISNUMBER(B6),B6&gt;B4,ISNUMBER(B23)),_xlfn.RRI(B6-B4,B22,B23),0)</f>
        <v>0</v>
      </c>
      <c r="L24">
        <f t="shared" si="13"/>
        <v>2066</v>
      </c>
      <c r="M24" s="1">
        <f t="shared" si="2"/>
        <v>1</v>
      </c>
      <c r="N24" s="1">
        <f t="shared" si="21"/>
        <v>1.3390508050872865</v>
      </c>
      <c r="O24" s="1">
        <f t="shared" si="14"/>
        <v>0.65020410836486264</v>
      </c>
      <c r="Q24">
        <f t="shared" si="15"/>
        <v>2076</v>
      </c>
      <c r="R24" s="1">
        <f t="shared" si="16"/>
        <v>1</v>
      </c>
      <c r="S24" s="1">
        <f t="shared" si="3"/>
        <v>1.5387802547724803</v>
      </c>
      <c r="T24" s="1">
        <f t="shared" si="4"/>
        <v>0.52969486322371517</v>
      </c>
      <c r="V24">
        <f t="shared" si="17"/>
        <v>2066</v>
      </c>
      <c r="W24" s="1">
        <f t="shared" si="5"/>
        <v>1</v>
      </c>
      <c r="X24" s="1">
        <f t="shared" si="6"/>
        <v>0.48557090283253213</v>
      </c>
      <c r="Z24">
        <f t="shared" si="18"/>
        <v>2076</v>
      </c>
      <c r="AA24" s="1">
        <f t="shared" si="7"/>
        <v>1</v>
      </c>
      <c r="AB24" s="1">
        <f t="shared" si="8"/>
        <v>0.34423034840802164</v>
      </c>
      <c r="AD24">
        <f t="shared" si="19"/>
        <v>2066</v>
      </c>
      <c r="AE24" s="1">
        <f t="shared" si="9"/>
        <v>0.48557090283253213</v>
      </c>
      <c r="AG24">
        <f t="shared" si="20"/>
        <v>2076</v>
      </c>
      <c r="AH24" s="1">
        <f t="shared" si="10"/>
        <v>0.34423034840802164</v>
      </c>
    </row>
    <row r="25" spans="1:34" x14ac:dyDescent="0.25">
      <c r="L25">
        <f t="shared" si="13"/>
        <v>2067</v>
      </c>
      <c r="M25" s="1">
        <f t="shared" si="2"/>
        <v>1</v>
      </c>
      <c r="N25" s="1">
        <f t="shared" si="21"/>
        <v>1.3577975163585085</v>
      </c>
      <c r="O25" s="1">
        <f t="shared" si="14"/>
        <v>0.63701156123861913</v>
      </c>
      <c r="Q25">
        <f t="shared" si="15"/>
        <v>2077</v>
      </c>
      <c r="R25" s="1">
        <f t="shared" si="16"/>
        <v>1</v>
      </c>
      <c r="S25" s="1">
        <f t="shared" si="3"/>
        <v>1.5603231783392952</v>
      </c>
      <c r="T25" s="1">
        <f t="shared" si="4"/>
        <v>0.51894743121627773</v>
      </c>
      <c r="V25">
        <f t="shared" si="17"/>
        <v>2067</v>
      </c>
      <c r="W25" s="1">
        <f t="shared" si="5"/>
        <v>1</v>
      </c>
      <c r="X25" s="1">
        <f t="shared" si="6"/>
        <v>0.46915063075606966</v>
      </c>
      <c r="Z25">
        <f t="shared" si="18"/>
        <v>2077</v>
      </c>
      <c r="AA25" s="1">
        <f t="shared" si="7"/>
        <v>1</v>
      </c>
      <c r="AB25" s="1">
        <f t="shared" si="8"/>
        <v>0.33258970860678427</v>
      </c>
      <c r="AD25">
        <f t="shared" si="19"/>
        <v>2067</v>
      </c>
      <c r="AE25" s="1">
        <f t="shared" si="9"/>
        <v>0.46915063075606966</v>
      </c>
      <c r="AG25">
        <f t="shared" si="20"/>
        <v>2077</v>
      </c>
      <c r="AH25" s="1">
        <f t="shared" si="10"/>
        <v>0.33258970860678427</v>
      </c>
    </row>
    <row r="26" spans="1:34" x14ac:dyDescent="0.25">
      <c r="A26" t="s">
        <v>63</v>
      </c>
      <c r="B26" s="1">
        <f ca="1">IF(OR(B5&gt;B3+B7,NOT(ISNUMBER(B5)),NOT(ISNUMBER(B16))),SUM(OFFSET(X3,0,0,B7)),IF(B5-B3&lt;=0,"Avausvuosi 2 tulee olla ensimmäisen avausvuoden jälkeen",SUM(OFFSET(X3,0,0,B5-B3))))</f>
        <v>19.035767000760526</v>
      </c>
      <c r="L26">
        <f t="shared" si="13"/>
        <v>2068</v>
      </c>
      <c r="M26" s="1">
        <f t="shared" si="2"/>
        <v>1</v>
      </c>
      <c r="N26" s="1">
        <f t="shared" si="21"/>
        <v>1.3768066815875277</v>
      </c>
      <c r="O26" s="1">
        <f t="shared" si="14"/>
        <v>0.62408668898160369</v>
      </c>
      <c r="Q26">
        <f t="shared" si="15"/>
        <v>2078</v>
      </c>
      <c r="R26" s="1">
        <f t="shared" si="16"/>
        <v>1</v>
      </c>
      <c r="S26" s="1">
        <f t="shared" si="3"/>
        <v>1.5821677028360455</v>
      </c>
      <c r="T26" s="1">
        <f t="shared" si="4"/>
        <v>0.50841806304667214</v>
      </c>
      <c r="V26">
        <f t="shared" si="17"/>
        <v>2068</v>
      </c>
      <c r="W26" s="1">
        <f t="shared" si="5"/>
        <v>1</v>
      </c>
      <c r="X26" s="1">
        <f t="shared" si="6"/>
        <v>0.45328563358074364</v>
      </c>
      <c r="Z26">
        <f t="shared" si="18"/>
        <v>2078</v>
      </c>
      <c r="AA26" s="1">
        <f t="shared" si="7"/>
        <v>1</v>
      </c>
      <c r="AB26" s="1">
        <f t="shared" si="8"/>
        <v>0.32134271362974326</v>
      </c>
      <c r="AD26">
        <f t="shared" si="19"/>
        <v>2068</v>
      </c>
      <c r="AE26" s="1">
        <f t="shared" si="9"/>
        <v>0.45328563358074364</v>
      </c>
      <c r="AG26">
        <f t="shared" si="20"/>
        <v>2078</v>
      </c>
      <c r="AH26" s="1">
        <f t="shared" si="10"/>
        <v>0.32134271362974326</v>
      </c>
    </row>
    <row r="27" spans="1:34" x14ac:dyDescent="0.25">
      <c r="A27" t="s">
        <v>64</v>
      </c>
      <c r="B27" s="1" t="str">
        <f ca="1">IF(AND(ISNUMBER(B5),ISNUMBER(B16)),IF(B5-B3&lt;=0,"Avausvuosi 2 tulee olla ensimmäisen avausvuoden jälkeen",IF(B5-B3&gt;=B7,"Avausvuosi 2 ei ole tarkastelujakson sisällä",SUM(OFFSET(AB3,0,0,B7-(B5-B3))))),"Ennuste/avausvuosi 2 puuttuu")</f>
        <v>Ennuste/avausvuosi 2 puuttuu</v>
      </c>
      <c r="L27">
        <f t="shared" si="13"/>
        <v>2069</v>
      </c>
      <c r="M27" s="1">
        <f t="shared" si="2"/>
        <v>1</v>
      </c>
      <c r="N27" s="1">
        <f t="shared" si="21"/>
        <v>1.3960819751297533</v>
      </c>
      <c r="O27" s="1">
        <f t="shared" si="14"/>
        <v>0.61142406050951337</v>
      </c>
      <c r="Q27">
        <f t="shared" si="15"/>
        <v>2079</v>
      </c>
      <c r="R27" s="1">
        <f t="shared" si="16"/>
        <v>1</v>
      </c>
      <c r="S27" s="1">
        <f t="shared" si="3"/>
        <v>1.6043180506757502</v>
      </c>
      <c r="T27" s="1">
        <f t="shared" si="4"/>
        <v>0.49810233423123246</v>
      </c>
      <c r="V27">
        <f t="shared" si="17"/>
        <v>2069</v>
      </c>
      <c r="W27" s="1">
        <f t="shared" si="5"/>
        <v>1</v>
      </c>
      <c r="X27" s="1">
        <f t="shared" si="6"/>
        <v>0.43795713389443841</v>
      </c>
      <c r="Z27">
        <f t="shared" si="18"/>
        <v>2079</v>
      </c>
      <c r="AA27" s="1">
        <f t="shared" si="7"/>
        <v>1</v>
      </c>
      <c r="AB27" s="1">
        <f t="shared" si="8"/>
        <v>0.3104760518161771</v>
      </c>
      <c r="AD27">
        <f t="shared" si="19"/>
        <v>2069</v>
      </c>
      <c r="AE27" s="1">
        <f t="shared" si="9"/>
        <v>0.43795713389443841</v>
      </c>
      <c r="AG27">
        <f t="shared" si="20"/>
        <v>2079</v>
      </c>
      <c r="AH27" s="1">
        <f t="shared" si="10"/>
        <v>0.3104760518161771</v>
      </c>
    </row>
    <row r="28" spans="1:34" x14ac:dyDescent="0.25">
      <c r="L28">
        <f t="shared" si="13"/>
        <v>2070</v>
      </c>
      <c r="M28" s="1">
        <f t="shared" si="2"/>
        <v>1</v>
      </c>
      <c r="N28" s="1">
        <f t="shared" si="21"/>
        <v>1.41562712278157</v>
      </c>
      <c r="O28" s="1">
        <f t="shared" si="14"/>
        <v>0.59901835493395816</v>
      </c>
      <c r="Q28">
        <f t="shared" si="15"/>
        <v>2080</v>
      </c>
      <c r="R28" s="1">
        <f t="shared" si="16"/>
        <v>1</v>
      </c>
      <c r="S28" s="1">
        <f t="shared" si="3"/>
        <v>1.6267785033852107</v>
      </c>
      <c r="T28" s="1">
        <f t="shared" si="4"/>
        <v>0.48799591005842491</v>
      </c>
      <c r="V28">
        <f t="shared" si="17"/>
        <v>2070</v>
      </c>
      <c r="W28" s="1">
        <f t="shared" si="5"/>
        <v>1</v>
      </c>
      <c r="X28" s="1">
        <f t="shared" si="6"/>
        <v>0.42314698926998884</v>
      </c>
      <c r="Z28">
        <f t="shared" si="18"/>
        <v>2080</v>
      </c>
      <c r="AA28" s="1">
        <f t="shared" si="7"/>
        <v>1</v>
      </c>
      <c r="AB28" s="1">
        <f t="shared" si="8"/>
        <v>0.29997686165814214</v>
      </c>
      <c r="AD28">
        <f t="shared" si="19"/>
        <v>2070</v>
      </c>
      <c r="AE28" s="1">
        <f t="shared" si="9"/>
        <v>0.42314698926998884</v>
      </c>
      <c r="AG28">
        <f t="shared" si="20"/>
        <v>2080</v>
      </c>
      <c r="AH28" s="1">
        <f t="shared" si="10"/>
        <v>0.29997686165814214</v>
      </c>
    </row>
    <row r="29" spans="1:34" x14ac:dyDescent="0.25">
      <c r="A29" t="s">
        <v>65</v>
      </c>
      <c r="B29" s="1">
        <f ca="1">IF(OR(B5&gt;B3+B7,NOT(ISNUMBER(B5)),NOT(ISNUMBER(B16))),SUM(OFFSET(AE3,0,0,B7)),IF(B5-B3&lt;=0,"Avausvuosi 2 tulee olla ensimmäisen avausvuoden jälkeen",SUM(OFFSET(AE3,0,0,B5-B3))))</f>
        <v>19.035767000760526</v>
      </c>
      <c r="L29">
        <f t="shared" si="13"/>
        <v>2071</v>
      </c>
      <c r="M29" s="1">
        <f t="shared" si="2"/>
        <v>1</v>
      </c>
      <c r="N29" s="1">
        <f t="shared" si="21"/>
        <v>1.4354459025005122</v>
      </c>
      <c r="O29" s="1">
        <f t="shared" si="14"/>
        <v>0.58686435932660264</v>
      </c>
      <c r="Q29">
        <f t="shared" si="15"/>
        <v>2081</v>
      </c>
      <c r="R29" s="1">
        <f t="shared" si="16"/>
        <v>1</v>
      </c>
      <c r="S29" s="1">
        <f t="shared" si="3"/>
        <v>1.649553402432604</v>
      </c>
      <c r="T29" s="1">
        <f t="shared" si="4"/>
        <v>0.47809454376738447</v>
      </c>
      <c r="V29">
        <f t="shared" si="17"/>
        <v>2071</v>
      </c>
      <c r="W29" s="1">
        <f t="shared" si="5"/>
        <v>1</v>
      </c>
      <c r="X29" s="1">
        <f t="shared" si="6"/>
        <v>0.40883767079225974</v>
      </c>
      <c r="Z29">
        <f t="shared" si="18"/>
        <v>2081</v>
      </c>
      <c r="AA29" s="1">
        <f t="shared" si="7"/>
        <v>1</v>
      </c>
      <c r="AB29" s="1">
        <f t="shared" si="8"/>
        <v>0.28983271657791515</v>
      </c>
      <c r="AD29">
        <f t="shared" si="19"/>
        <v>2071</v>
      </c>
      <c r="AE29" s="1">
        <f t="shared" si="9"/>
        <v>0.40883767079225974</v>
      </c>
      <c r="AG29">
        <f t="shared" si="20"/>
        <v>2081</v>
      </c>
      <c r="AH29" s="1">
        <f t="shared" si="10"/>
        <v>0.28983271657791515</v>
      </c>
    </row>
    <row r="30" spans="1:34" x14ac:dyDescent="0.25">
      <c r="A30" t="s">
        <v>66</v>
      </c>
      <c r="B30" s="1" t="str">
        <f ca="1">IF(AND(ISNUMBER(B5),ISNUMBER(B16)),IF(B5-B3&lt;=0,"Avausvuosi 2 tulee olla ensimmäisen avausvuoden jälkeen",IF(B5-B3&gt;=B7,"Avausvuosi 2 ei ole tarkastelujakson sisällä",SUM(OFFSET(AH3,0,0,B7-(B5-B3))))),"Ennuste/avausvuosi 2 puuttuu")</f>
        <v>Ennuste/avausvuosi 2 puuttuu</v>
      </c>
      <c r="L30">
        <f t="shared" si="13"/>
        <v>2072</v>
      </c>
      <c r="M30" s="1">
        <f t="shared" si="2"/>
        <v>1</v>
      </c>
      <c r="N30" s="1">
        <f t="shared" si="21"/>
        <v>1.4555421451355193</v>
      </c>
      <c r="O30" s="1">
        <f t="shared" si="14"/>
        <v>0.57495696652867145</v>
      </c>
      <c r="Q30">
        <f t="shared" si="15"/>
        <v>2082</v>
      </c>
      <c r="R30" s="1">
        <f t="shared" si="16"/>
        <v>1</v>
      </c>
      <c r="S30" s="1">
        <f t="shared" si="3"/>
        <v>1.6726471500666604</v>
      </c>
      <c r="T30" s="1">
        <f t="shared" si="4"/>
        <v>0.46839407476340861</v>
      </c>
      <c r="V30">
        <f t="shared" si="17"/>
        <v>2072</v>
      </c>
      <c r="W30" s="1">
        <f t="shared" si="5"/>
        <v>1</v>
      </c>
      <c r="X30" s="1">
        <f t="shared" si="6"/>
        <v>0.39501224231136206</v>
      </c>
      <c r="Z30">
        <f t="shared" si="18"/>
        <v>2082</v>
      </c>
      <c r="AA30" s="1">
        <f t="shared" si="7"/>
        <v>1</v>
      </c>
      <c r="AB30" s="1">
        <f t="shared" si="8"/>
        <v>0.28003161022020789</v>
      </c>
      <c r="AD30">
        <f t="shared" si="19"/>
        <v>2072</v>
      </c>
      <c r="AE30" s="1">
        <f t="shared" si="9"/>
        <v>0.39501224231136206</v>
      </c>
      <c r="AG30">
        <f t="shared" si="20"/>
        <v>2082</v>
      </c>
      <c r="AH30" s="1">
        <f t="shared" si="10"/>
        <v>0.28003161022020789</v>
      </c>
    </row>
    <row r="31" spans="1:34" x14ac:dyDescent="0.25">
      <c r="L31">
        <f t="shared" si="13"/>
        <v>2073</v>
      </c>
      <c r="M31" s="1">
        <f t="shared" si="2"/>
        <v>1</v>
      </c>
      <c r="N31" s="1">
        <f t="shared" si="21"/>
        <v>1.4759197351674167</v>
      </c>
      <c r="O31" s="1">
        <f t="shared" si="14"/>
        <v>0.56329117300490139</v>
      </c>
      <c r="Q31">
        <f t="shared" si="15"/>
        <v>2083</v>
      </c>
      <c r="R31" s="1">
        <f t="shared" si="16"/>
        <v>1</v>
      </c>
      <c r="S31" s="1">
        <f t="shared" si="3"/>
        <v>1.6960642101675938</v>
      </c>
      <c r="T31" s="1">
        <f t="shared" si="4"/>
        <v>0.45889042686965831</v>
      </c>
      <c r="V31">
        <f t="shared" si="17"/>
        <v>2073</v>
      </c>
      <c r="W31" s="1">
        <f t="shared" si="5"/>
        <v>1</v>
      </c>
      <c r="X31" s="1">
        <f t="shared" si="6"/>
        <v>0.38165434039745127</v>
      </c>
      <c r="Z31">
        <f t="shared" si="18"/>
        <v>2083</v>
      </c>
      <c r="AA31" s="1">
        <f t="shared" si="7"/>
        <v>1</v>
      </c>
      <c r="AB31" s="1">
        <f t="shared" si="8"/>
        <v>0.27056194224174673</v>
      </c>
      <c r="AD31">
        <f t="shared" si="19"/>
        <v>2073</v>
      </c>
      <c r="AE31" s="1">
        <f t="shared" si="9"/>
        <v>0.38165434039745127</v>
      </c>
      <c r="AG31">
        <f t="shared" si="20"/>
        <v>2083</v>
      </c>
      <c r="AH31" s="1">
        <f t="shared" si="10"/>
        <v>0.27056194224174673</v>
      </c>
    </row>
    <row r="32" spans="1:34" x14ac:dyDescent="0.25">
      <c r="L32">
        <f t="shared" si="13"/>
        <v>2074</v>
      </c>
      <c r="M32" s="1">
        <f t="shared" si="2"/>
        <v>1</v>
      </c>
      <c r="N32" s="1">
        <f t="shared" si="21"/>
        <v>1.4965826114597607</v>
      </c>
      <c r="O32" s="1">
        <f t="shared" si="14"/>
        <v>0.55186207674103405</v>
      </c>
      <c r="Q32">
        <f t="shared" si="15"/>
        <v>2084</v>
      </c>
      <c r="R32" s="1">
        <f t="shared" si="16"/>
        <v>1</v>
      </c>
      <c r="S32" s="1">
        <f t="shared" si="3"/>
        <v>1.7198091091099401</v>
      </c>
      <c r="T32" s="1">
        <f t="shared" si="4"/>
        <v>0.44957960661433199</v>
      </c>
      <c r="V32">
        <f t="shared" si="17"/>
        <v>2074</v>
      </c>
      <c r="W32" s="1">
        <f t="shared" si="5"/>
        <v>1</v>
      </c>
      <c r="X32" s="1">
        <f t="shared" si="6"/>
        <v>0.36874815497338298</v>
      </c>
      <c r="Z32">
        <f t="shared" si="18"/>
        <v>2084</v>
      </c>
      <c r="AA32" s="1">
        <f t="shared" si="7"/>
        <v>1</v>
      </c>
      <c r="AB32" s="1">
        <f t="shared" si="8"/>
        <v>0.26141250458139786</v>
      </c>
      <c r="AD32">
        <f t="shared" si="19"/>
        <v>2074</v>
      </c>
      <c r="AE32" s="1">
        <f t="shared" si="9"/>
        <v>0.36874815497338298</v>
      </c>
      <c r="AG32">
        <f t="shared" si="20"/>
        <v>2084</v>
      </c>
      <c r="AH32" s="1">
        <f t="shared" si="10"/>
        <v>0.26141250458139786</v>
      </c>
    </row>
    <row r="33" spans="12:34" x14ac:dyDescent="0.25">
      <c r="L33">
        <f t="shared" si="13"/>
        <v>2075</v>
      </c>
      <c r="M33" s="1">
        <f t="shared" si="2"/>
        <v>1</v>
      </c>
      <c r="N33" s="1">
        <f t="shared" si="21"/>
        <v>1.5175347680201974</v>
      </c>
      <c r="O33" s="1">
        <f t="shared" si="14"/>
        <v>0.54066487518396955</v>
      </c>
      <c r="P33" s="1"/>
      <c r="Q33">
        <f t="shared" si="15"/>
        <v>2085</v>
      </c>
      <c r="R33" s="1">
        <f t="shared" si="16"/>
        <v>1</v>
      </c>
      <c r="S33" s="1">
        <f t="shared" si="3"/>
        <v>1.7438864366374796</v>
      </c>
      <c r="T33" s="1">
        <f t="shared" si="4"/>
        <v>0.44045770155259206</v>
      </c>
      <c r="V33">
        <f t="shared" si="17"/>
        <v>2075</v>
      </c>
      <c r="W33" s="1">
        <f t="shared" si="5"/>
        <v>1</v>
      </c>
      <c r="X33" s="1">
        <f t="shared" si="6"/>
        <v>0.35627841060230236</v>
      </c>
      <c r="Z33">
        <f t="shared" si="18"/>
        <v>2085</v>
      </c>
      <c r="AA33" s="1">
        <f t="shared" si="7"/>
        <v>1</v>
      </c>
      <c r="AB33" s="1">
        <f t="shared" si="8"/>
        <v>0.25257246819458734</v>
      </c>
      <c r="AD33">
        <f t="shared" si="19"/>
        <v>2075</v>
      </c>
      <c r="AE33" s="1">
        <f t="shared" si="9"/>
        <v>0.35627841060230236</v>
      </c>
      <c r="AG33">
        <f t="shared" si="20"/>
        <v>2085</v>
      </c>
      <c r="AH33" s="1">
        <f t="shared" si="10"/>
        <v>0.25257246819458734</v>
      </c>
    </row>
    <row r="34" spans="12:34" x14ac:dyDescent="0.25">
      <c r="L34">
        <f t="shared" si="13"/>
        <v>2076</v>
      </c>
      <c r="M34" s="1">
        <f t="shared" si="2"/>
        <v>1</v>
      </c>
      <c r="N34" s="1">
        <f t="shared" si="21"/>
        <v>1.5387802547724803</v>
      </c>
      <c r="O34" s="1">
        <f t="shared" si="14"/>
        <v>0.52969486322371517</v>
      </c>
      <c r="Q34">
        <f t="shared" si="15"/>
        <v>2086</v>
      </c>
      <c r="R34" s="1">
        <f t="shared" si="16"/>
        <v>1</v>
      </c>
      <c r="S34" s="1">
        <f t="shared" si="3"/>
        <v>1.7683008467504044</v>
      </c>
      <c r="T34" s="1">
        <f t="shared" si="4"/>
        <v>0.43152087862253963</v>
      </c>
      <c r="V34">
        <f t="shared" si="17"/>
        <v>2076</v>
      </c>
      <c r="W34" s="1">
        <f t="shared" si="5"/>
        <v>1</v>
      </c>
      <c r="X34" s="1">
        <f t="shared" si="6"/>
        <v>0.34423034840802164</v>
      </c>
      <c r="Z34">
        <f t="shared" si="18"/>
        <v>2086</v>
      </c>
      <c r="AA34" s="1">
        <f t="shared" si="7"/>
        <v>1</v>
      </c>
      <c r="AB34" s="1">
        <f t="shared" si="8"/>
        <v>0.24403137023631633</v>
      </c>
      <c r="AD34">
        <f t="shared" si="19"/>
        <v>2076</v>
      </c>
      <c r="AE34" s="1">
        <f t="shared" si="9"/>
        <v>0.34423034840802164</v>
      </c>
      <c r="AG34">
        <f t="shared" si="20"/>
        <v>2086</v>
      </c>
      <c r="AH34" s="1">
        <f t="shared" si="10"/>
        <v>0.24403137023631633</v>
      </c>
    </row>
    <row r="35" spans="12:34" x14ac:dyDescent="0.25">
      <c r="L35">
        <f t="shared" si="13"/>
        <v>2077</v>
      </c>
      <c r="M35" s="1">
        <f t="shared" si="2"/>
        <v>1</v>
      </c>
      <c r="N35" s="1">
        <f t="shared" ref="N35:N62" si="22">M35*(1+$B$9)^(L35-$B$2)</f>
        <v>1.5603231783392952</v>
      </c>
      <c r="O35" s="1">
        <f t="shared" ref="O35:O62" si="23">N35/(1+$B$8)^(L35-$B$2)</f>
        <v>0.51894743121627773</v>
      </c>
      <c r="Q35">
        <f t="shared" si="15"/>
        <v>2087</v>
      </c>
      <c r="R35" s="1">
        <f t="shared" si="16"/>
        <v>1</v>
      </c>
      <c r="S35" s="1">
        <f t="shared" ref="S35:S62" si="24">R35*(1+$B$9)^(Q35-$B$2)</f>
        <v>1.7930570586049102</v>
      </c>
      <c r="T35" s="1">
        <f t="shared" ref="T35:T62" si="25">S35/(1+$B$8)^(Q35-$B$2)</f>
        <v>0.42276538253454604</v>
      </c>
      <c r="V35">
        <f t="shared" si="17"/>
        <v>2077</v>
      </c>
      <c r="W35" s="1">
        <f t="shared" ref="W35:W62" si="26">(1+$B$24)^(L35-$B$4)</f>
        <v>1</v>
      </c>
      <c r="X35" s="1">
        <f t="shared" ref="X35:X62" si="27">W35/(1+$B$8)^(L35-$B$2)</f>
        <v>0.33258970860678427</v>
      </c>
      <c r="Z35">
        <f t="shared" si="18"/>
        <v>2087</v>
      </c>
      <c r="AA35" s="1">
        <f t="shared" ref="AA35:AA62" si="28">(1+$B$24)^(Q35-$B$6)</f>
        <v>1</v>
      </c>
      <c r="AB35" s="1">
        <f t="shared" ref="AB35:AB62" si="29">AA35/(1+$B$8)^(Q35-$B$2)</f>
        <v>0.2357791016776003</v>
      </c>
      <c r="AD35">
        <f t="shared" si="19"/>
        <v>2077</v>
      </c>
      <c r="AE35" s="1">
        <f t="shared" ref="AE35:AE62" si="30">1/(1+$B$8)^(L35-$B$2)</f>
        <v>0.33258970860678427</v>
      </c>
      <c r="AG35">
        <f t="shared" si="20"/>
        <v>2087</v>
      </c>
      <c r="AH35" s="1">
        <f t="shared" ref="AH35:AH62" si="31">1/(1+$B$8)^(Q35-$B$2)</f>
        <v>0.2357791016776003</v>
      </c>
    </row>
    <row r="36" spans="12:34" x14ac:dyDescent="0.25">
      <c r="L36">
        <f t="shared" ref="L36:L62" si="32">L35+1</f>
        <v>2078</v>
      </c>
      <c r="M36" s="1">
        <f t="shared" si="2"/>
        <v>1</v>
      </c>
      <c r="N36" s="1">
        <f t="shared" si="22"/>
        <v>1.5821677028360455</v>
      </c>
      <c r="O36" s="1">
        <f t="shared" si="23"/>
        <v>0.50841806304667214</v>
      </c>
      <c r="Q36">
        <f t="shared" ref="Q36:Q62" si="33">Q35+1</f>
        <v>2088</v>
      </c>
      <c r="R36" s="1">
        <f t="shared" si="16"/>
        <v>1</v>
      </c>
      <c r="S36" s="1">
        <f t="shared" si="24"/>
        <v>1.818159857425379</v>
      </c>
      <c r="T36" s="1">
        <f t="shared" si="25"/>
        <v>0.41418753419326537</v>
      </c>
      <c r="V36">
        <f t="shared" ref="V36:V62" si="34">V35+1</f>
        <v>2078</v>
      </c>
      <c r="W36" s="1">
        <f t="shared" si="26"/>
        <v>1</v>
      </c>
      <c r="X36" s="1">
        <f t="shared" si="27"/>
        <v>0.32134271362974326</v>
      </c>
      <c r="Z36">
        <f t="shared" ref="Z36:Z62" si="35">Z35+1</f>
        <v>2088</v>
      </c>
      <c r="AA36" s="1">
        <f t="shared" si="28"/>
        <v>1</v>
      </c>
      <c r="AB36" s="1">
        <f t="shared" si="29"/>
        <v>0.22780589534067661</v>
      </c>
      <c r="AD36">
        <f t="shared" ref="AD36:AD62" si="36">AD35+1</f>
        <v>2078</v>
      </c>
      <c r="AE36" s="1">
        <f t="shared" si="30"/>
        <v>0.32134271362974326</v>
      </c>
      <c r="AG36">
        <f t="shared" ref="AG36:AG62" si="37">AG35+1</f>
        <v>2088</v>
      </c>
      <c r="AH36" s="1">
        <f t="shared" si="31"/>
        <v>0.22780589534067661</v>
      </c>
    </row>
    <row r="37" spans="12:34" x14ac:dyDescent="0.25">
      <c r="L37">
        <f t="shared" si="32"/>
        <v>2079</v>
      </c>
      <c r="M37" s="1">
        <f t="shared" si="2"/>
        <v>1</v>
      </c>
      <c r="N37" s="1">
        <f t="shared" si="22"/>
        <v>1.6043180506757502</v>
      </c>
      <c r="O37" s="1">
        <f t="shared" si="23"/>
        <v>0.49810233423123246</v>
      </c>
      <c r="Q37">
        <f t="shared" si="33"/>
        <v>2089</v>
      </c>
      <c r="R37" s="1">
        <f t="shared" si="16"/>
        <v>1</v>
      </c>
      <c r="S37" s="1">
        <f t="shared" si="24"/>
        <v>1.8436140954293345</v>
      </c>
      <c r="T37" s="1">
        <f t="shared" si="25"/>
        <v>0.405783729151663</v>
      </c>
      <c r="V37">
        <f t="shared" si="34"/>
        <v>2079</v>
      </c>
      <c r="W37" s="1">
        <f t="shared" si="26"/>
        <v>1</v>
      </c>
      <c r="X37" s="1">
        <f t="shared" si="27"/>
        <v>0.3104760518161771</v>
      </c>
      <c r="Z37">
        <f t="shared" si="35"/>
        <v>2089</v>
      </c>
      <c r="AA37" s="1">
        <f t="shared" si="28"/>
        <v>1</v>
      </c>
      <c r="AB37" s="1">
        <f t="shared" si="29"/>
        <v>0.22010231433881802</v>
      </c>
      <c r="AD37">
        <f t="shared" si="36"/>
        <v>2079</v>
      </c>
      <c r="AE37" s="1">
        <f t="shared" si="30"/>
        <v>0.3104760518161771</v>
      </c>
      <c r="AG37">
        <f t="shared" si="37"/>
        <v>2089</v>
      </c>
      <c r="AH37" s="1">
        <f t="shared" si="31"/>
        <v>0.22010231433881802</v>
      </c>
    </row>
    <row r="38" spans="12:34" x14ac:dyDescent="0.25">
      <c r="L38">
        <f t="shared" si="32"/>
        <v>2080</v>
      </c>
      <c r="M38" s="1">
        <f t="shared" si="2"/>
        <v>1</v>
      </c>
      <c r="N38" s="1">
        <f t="shared" si="22"/>
        <v>1.6267785033852107</v>
      </c>
      <c r="O38" s="1">
        <f t="shared" si="23"/>
        <v>0.48799591005842491</v>
      </c>
      <c r="Q38">
        <f t="shared" si="33"/>
        <v>2090</v>
      </c>
      <c r="R38" s="1">
        <f t="shared" si="16"/>
        <v>1</v>
      </c>
      <c r="S38" s="1">
        <f t="shared" si="24"/>
        <v>1.8694246927653453</v>
      </c>
      <c r="T38" s="1">
        <f t="shared" si="25"/>
        <v>0.39755043609641194</v>
      </c>
      <c r="V38">
        <f t="shared" si="34"/>
        <v>2080</v>
      </c>
      <c r="W38" s="1">
        <f t="shared" si="26"/>
        <v>1</v>
      </c>
      <c r="X38" s="1">
        <f t="shared" si="27"/>
        <v>0.29997686165814214</v>
      </c>
      <c r="Z38">
        <f t="shared" si="35"/>
        <v>2090</v>
      </c>
      <c r="AA38" s="1">
        <f t="shared" si="28"/>
        <v>1</v>
      </c>
      <c r="AB38" s="1">
        <f t="shared" si="29"/>
        <v>0.21265924090707056</v>
      </c>
      <c r="AD38">
        <f t="shared" si="36"/>
        <v>2080</v>
      </c>
      <c r="AE38" s="1">
        <f t="shared" si="30"/>
        <v>0.29997686165814214</v>
      </c>
      <c r="AG38">
        <f t="shared" si="37"/>
        <v>2090</v>
      </c>
      <c r="AH38" s="1">
        <f t="shared" si="31"/>
        <v>0.21265924090707056</v>
      </c>
    </row>
    <row r="39" spans="12:34" x14ac:dyDescent="0.25">
      <c r="L39">
        <f t="shared" si="32"/>
        <v>2081</v>
      </c>
      <c r="M39" s="1">
        <f t="shared" si="2"/>
        <v>1</v>
      </c>
      <c r="N39" s="1">
        <f t="shared" si="22"/>
        <v>1.649553402432604</v>
      </c>
      <c r="O39" s="1">
        <f t="shared" si="23"/>
        <v>0.47809454376738447</v>
      </c>
      <c r="Q39">
        <f t="shared" si="33"/>
        <v>2091</v>
      </c>
      <c r="R39" s="1">
        <f t="shared" si="16"/>
        <v>1</v>
      </c>
      <c r="S39" s="1">
        <f t="shared" si="24"/>
        <v>1.8955966384640601</v>
      </c>
      <c r="T39" s="1">
        <f t="shared" si="25"/>
        <v>0.3894841953640209</v>
      </c>
      <c r="V39">
        <f t="shared" si="34"/>
        <v>2081</v>
      </c>
      <c r="W39" s="1">
        <f t="shared" si="26"/>
        <v>1</v>
      </c>
      <c r="X39" s="1">
        <f t="shared" si="27"/>
        <v>0.28983271657791515</v>
      </c>
      <c r="Z39">
        <f t="shared" si="35"/>
        <v>2091</v>
      </c>
      <c r="AA39" s="1">
        <f t="shared" si="28"/>
        <v>1</v>
      </c>
      <c r="AB39" s="1">
        <f t="shared" si="29"/>
        <v>0.20546786561069619</v>
      </c>
      <c r="AD39">
        <f t="shared" si="36"/>
        <v>2081</v>
      </c>
      <c r="AE39" s="1">
        <f t="shared" si="30"/>
        <v>0.28983271657791515</v>
      </c>
      <c r="AG39">
        <f t="shared" si="37"/>
        <v>2091</v>
      </c>
      <c r="AH39" s="1">
        <f t="shared" si="31"/>
        <v>0.20546786561069619</v>
      </c>
    </row>
    <row r="40" spans="12:34" x14ac:dyDescent="0.25">
      <c r="L40">
        <f t="shared" si="32"/>
        <v>2082</v>
      </c>
      <c r="M40" s="1">
        <f t="shared" si="2"/>
        <v>1</v>
      </c>
      <c r="N40" s="1">
        <f t="shared" si="22"/>
        <v>1.6726471500666604</v>
      </c>
      <c r="O40" s="1">
        <f t="shared" si="23"/>
        <v>0.46839407476340861</v>
      </c>
      <c r="Q40">
        <f t="shared" si="33"/>
        <v>2092</v>
      </c>
      <c r="R40" s="1">
        <f t="shared" si="16"/>
        <v>1</v>
      </c>
      <c r="S40" s="1">
        <f t="shared" si="24"/>
        <v>1.9221349914025572</v>
      </c>
      <c r="T40" s="1">
        <f t="shared" si="25"/>
        <v>0.38158161748706992</v>
      </c>
      <c r="V40">
        <f t="shared" si="34"/>
        <v>2082</v>
      </c>
      <c r="W40" s="1">
        <f t="shared" si="26"/>
        <v>1</v>
      </c>
      <c r="X40" s="1">
        <f t="shared" si="27"/>
        <v>0.28003161022020789</v>
      </c>
      <c r="Z40">
        <f t="shared" si="35"/>
        <v>2092</v>
      </c>
      <c r="AA40" s="1">
        <f t="shared" si="28"/>
        <v>1</v>
      </c>
      <c r="AB40" s="1">
        <f t="shared" si="29"/>
        <v>0.19851967691854708</v>
      </c>
      <c r="AD40">
        <f t="shared" si="36"/>
        <v>2082</v>
      </c>
      <c r="AE40" s="1">
        <f t="shared" si="30"/>
        <v>0.28003161022020789</v>
      </c>
      <c r="AG40">
        <f t="shared" si="37"/>
        <v>2092</v>
      </c>
      <c r="AH40" s="1">
        <f t="shared" si="31"/>
        <v>0.19851967691854708</v>
      </c>
    </row>
    <row r="41" spans="12:34" x14ac:dyDescent="0.25">
      <c r="L41">
        <f t="shared" si="32"/>
        <v>2083</v>
      </c>
      <c r="M41" s="1">
        <f t="shared" si="2"/>
        <v>1</v>
      </c>
      <c r="N41" s="1">
        <f t="shared" si="22"/>
        <v>1.6960642101675938</v>
      </c>
      <c r="O41" s="1">
        <f t="shared" si="23"/>
        <v>0.45889042686965831</v>
      </c>
      <c r="Q41">
        <f t="shared" si="33"/>
        <v>2093</v>
      </c>
      <c r="R41" s="1">
        <f t="shared" si="16"/>
        <v>1</v>
      </c>
      <c r="S41" s="1">
        <f t="shared" si="24"/>
        <v>1.9490448812821934</v>
      </c>
      <c r="T41" s="1">
        <f t="shared" si="25"/>
        <v>0.37383938176994114</v>
      </c>
      <c r="V41">
        <f t="shared" si="34"/>
        <v>2083</v>
      </c>
      <c r="W41" s="1">
        <f t="shared" si="26"/>
        <v>1</v>
      </c>
      <c r="X41" s="1">
        <f t="shared" si="27"/>
        <v>0.27056194224174673</v>
      </c>
      <c r="Z41">
        <f t="shared" si="35"/>
        <v>2093</v>
      </c>
      <c r="AA41" s="1">
        <f t="shared" si="28"/>
        <v>1</v>
      </c>
      <c r="AB41" s="1">
        <f t="shared" si="29"/>
        <v>0.19180645112903102</v>
      </c>
      <c r="AD41">
        <f t="shared" si="36"/>
        <v>2083</v>
      </c>
      <c r="AE41" s="1">
        <f t="shared" si="30"/>
        <v>0.27056194224174673</v>
      </c>
      <c r="AG41">
        <f t="shared" si="37"/>
        <v>2093</v>
      </c>
      <c r="AH41" s="1">
        <f t="shared" si="31"/>
        <v>0.19180645112903102</v>
      </c>
    </row>
    <row r="42" spans="12:34" x14ac:dyDescent="0.25">
      <c r="L42">
        <f t="shared" si="32"/>
        <v>2084</v>
      </c>
      <c r="M42" s="1">
        <f t="shared" si="2"/>
        <v>1</v>
      </c>
      <c r="N42" s="1">
        <f t="shared" si="22"/>
        <v>1.7198091091099401</v>
      </c>
      <c r="O42" s="1">
        <f t="shared" si="23"/>
        <v>0.44957960661433199</v>
      </c>
      <c r="Q42">
        <f t="shared" si="33"/>
        <v>2094</v>
      </c>
      <c r="R42" s="1">
        <f t="shared" si="16"/>
        <v>1</v>
      </c>
      <c r="S42" s="1">
        <f t="shared" si="24"/>
        <v>1.9763315096201441</v>
      </c>
      <c r="T42" s="1">
        <f t="shared" si="25"/>
        <v>0.3662542348934496</v>
      </c>
      <c r="V42">
        <f t="shared" si="34"/>
        <v>2084</v>
      </c>
      <c r="W42" s="1">
        <f t="shared" si="26"/>
        <v>1</v>
      </c>
      <c r="X42" s="1">
        <f t="shared" si="27"/>
        <v>0.26141250458139786</v>
      </c>
      <c r="Z42">
        <f t="shared" si="35"/>
        <v>2094</v>
      </c>
      <c r="AA42" s="1">
        <f t="shared" si="28"/>
        <v>1</v>
      </c>
      <c r="AB42" s="1">
        <f t="shared" si="29"/>
        <v>0.18532024263674499</v>
      </c>
      <c r="AD42">
        <f t="shared" si="36"/>
        <v>2084</v>
      </c>
      <c r="AE42" s="1">
        <f t="shared" si="30"/>
        <v>0.26141250458139786</v>
      </c>
      <c r="AG42">
        <f t="shared" si="37"/>
        <v>2094</v>
      </c>
      <c r="AH42" s="1">
        <f t="shared" si="31"/>
        <v>0.18532024263674499</v>
      </c>
    </row>
    <row r="43" spans="12:34" x14ac:dyDescent="0.25">
      <c r="L43">
        <f t="shared" si="32"/>
        <v>2085</v>
      </c>
      <c r="M43" s="1">
        <f t="shared" si="2"/>
        <v>1</v>
      </c>
      <c r="N43" s="1">
        <f t="shared" si="22"/>
        <v>1.7438864366374796</v>
      </c>
      <c r="O43" s="1">
        <f t="shared" si="23"/>
        <v>0.44045770155259206</v>
      </c>
      <c r="Q43">
        <f t="shared" si="33"/>
        <v>2095</v>
      </c>
      <c r="R43" s="1">
        <f t="shared" si="16"/>
        <v>1</v>
      </c>
      <c r="S43" s="1">
        <f t="shared" si="24"/>
        <v>2.0040001507548264</v>
      </c>
      <c r="T43" s="1">
        <f t="shared" si="25"/>
        <v>0.35882298954778546</v>
      </c>
      <c r="V43">
        <f t="shared" si="34"/>
        <v>2085</v>
      </c>
      <c r="W43" s="1">
        <f t="shared" si="26"/>
        <v>1</v>
      </c>
      <c r="X43" s="1">
        <f t="shared" si="27"/>
        <v>0.25257246819458734</v>
      </c>
      <c r="Z43">
        <f t="shared" si="35"/>
        <v>2095</v>
      </c>
      <c r="AA43" s="1">
        <f t="shared" si="28"/>
        <v>1</v>
      </c>
      <c r="AB43" s="1">
        <f t="shared" si="29"/>
        <v>0.17905337452825601</v>
      </c>
      <c r="AD43">
        <f t="shared" si="36"/>
        <v>2085</v>
      </c>
      <c r="AE43" s="1">
        <f t="shared" si="30"/>
        <v>0.25257246819458734</v>
      </c>
      <c r="AG43">
        <f t="shared" si="37"/>
        <v>2095</v>
      </c>
      <c r="AH43" s="1">
        <f t="shared" si="31"/>
        <v>0.17905337452825601</v>
      </c>
    </row>
    <row r="44" spans="12:34" x14ac:dyDescent="0.25">
      <c r="L44">
        <f t="shared" si="32"/>
        <v>2086</v>
      </c>
      <c r="M44" s="1">
        <f t="shared" si="2"/>
        <v>1</v>
      </c>
      <c r="N44" s="1">
        <f t="shared" si="22"/>
        <v>1.7683008467504044</v>
      </c>
      <c r="O44" s="1">
        <f t="shared" si="23"/>
        <v>0.43152087862253963</v>
      </c>
      <c r="Q44">
        <f t="shared" si="33"/>
        <v>2096</v>
      </c>
      <c r="R44" s="1">
        <f t="shared" si="16"/>
        <v>1</v>
      </c>
      <c r="S44" s="1">
        <f t="shared" si="24"/>
        <v>2.032056152865394</v>
      </c>
      <c r="T44" s="1">
        <f t="shared" si="25"/>
        <v>0.35154252309319278</v>
      </c>
      <c r="V44">
        <f t="shared" si="34"/>
        <v>2086</v>
      </c>
      <c r="W44" s="1">
        <f t="shared" si="26"/>
        <v>1</v>
      </c>
      <c r="X44" s="1">
        <f t="shared" si="27"/>
        <v>0.24403137023631633</v>
      </c>
      <c r="Z44">
        <f t="shared" si="35"/>
        <v>2096</v>
      </c>
      <c r="AA44" s="1">
        <f t="shared" si="28"/>
        <v>1</v>
      </c>
      <c r="AB44" s="1">
        <f t="shared" si="29"/>
        <v>0.17299842949589955</v>
      </c>
      <c r="AD44">
        <f t="shared" si="36"/>
        <v>2086</v>
      </c>
      <c r="AE44" s="1">
        <f t="shared" si="30"/>
        <v>0.24403137023631633</v>
      </c>
      <c r="AG44">
        <f t="shared" si="37"/>
        <v>2096</v>
      </c>
      <c r="AH44" s="1">
        <f t="shared" si="31"/>
        <v>0.17299842949589955</v>
      </c>
    </row>
    <row r="45" spans="12:34" x14ac:dyDescent="0.25">
      <c r="L45">
        <f t="shared" si="32"/>
        <v>2087</v>
      </c>
      <c r="M45" s="1">
        <f t="shared" si="2"/>
        <v>1</v>
      </c>
      <c r="N45" s="1">
        <f t="shared" si="22"/>
        <v>1.7930570586049102</v>
      </c>
      <c r="O45" s="1">
        <f t="shared" si="23"/>
        <v>0.42276538253454604</v>
      </c>
      <c r="Q45">
        <f t="shared" si="33"/>
        <v>2097</v>
      </c>
      <c r="R45" s="1">
        <f t="shared" si="16"/>
        <v>1</v>
      </c>
      <c r="S45" s="1">
        <f t="shared" si="24"/>
        <v>2.0605049390055097</v>
      </c>
      <c r="T45" s="1">
        <f t="shared" si="25"/>
        <v>0.34440977624782365</v>
      </c>
      <c r="V45">
        <f t="shared" si="34"/>
        <v>2087</v>
      </c>
      <c r="W45" s="1">
        <f t="shared" si="26"/>
        <v>1</v>
      </c>
      <c r="X45" s="1">
        <f t="shared" si="27"/>
        <v>0.2357791016776003</v>
      </c>
      <c r="Z45">
        <f t="shared" si="35"/>
        <v>2097</v>
      </c>
      <c r="AA45" s="1">
        <f t="shared" si="28"/>
        <v>1</v>
      </c>
      <c r="AB45" s="1">
        <f t="shared" si="29"/>
        <v>0.16714824105884016</v>
      </c>
      <c r="AD45">
        <f t="shared" si="36"/>
        <v>2087</v>
      </c>
      <c r="AE45" s="1">
        <f t="shared" si="30"/>
        <v>0.2357791016776003</v>
      </c>
      <c r="AG45">
        <f t="shared" si="37"/>
        <v>2097</v>
      </c>
      <c r="AH45" s="1">
        <f t="shared" si="31"/>
        <v>0.16714824105884016</v>
      </c>
    </row>
    <row r="46" spans="12:34" x14ac:dyDescent="0.25">
      <c r="L46">
        <f t="shared" si="32"/>
        <v>2088</v>
      </c>
      <c r="M46" s="1">
        <f t="shared" si="2"/>
        <v>1</v>
      </c>
      <c r="N46" s="1">
        <f t="shared" si="22"/>
        <v>1.818159857425379</v>
      </c>
      <c r="O46" s="1">
        <f t="shared" si="23"/>
        <v>0.41418753419326537</v>
      </c>
      <c r="Q46">
        <f t="shared" si="33"/>
        <v>2098</v>
      </c>
      <c r="R46" s="1">
        <f t="shared" si="16"/>
        <v>1</v>
      </c>
      <c r="S46" s="1">
        <f t="shared" si="24"/>
        <v>2.0893520081515868</v>
      </c>
      <c r="T46" s="1">
        <f t="shared" si="25"/>
        <v>0.33742175180221573</v>
      </c>
      <c r="V46">
        <f t="shared" si="34"/>
        <v>2088</v>
      </c>
      <c r="W46" s="1">
        <f t="shared" si="26"/>
        <v>1</v>
      </c>
      <c r="X46" s="1">
        <f t="shared" si="27"/>
        <v>0.22780589534067661</v>
      </c>
      <c r="Z46">
        <f t="shared" si="35"/>
        <v>2098</v>
      </c>
      <c r="AA46" s="1">
        <f t="shared" si="28"/>
        <v>1</v>
      </c>
      <c r="AB46" s="1">
        <f t="shared" si="29"/>
        <v>0.16149588508100501</v>
      </c>
      <c r="AD46">
        <f t="shared" si="36"/>
        <v>2088</v>
      </c>
      <c r="AE46" s="1">
        <f t="shared" si="30"/>
        <v>0.22780589534067661</v>
      </c>
      <c r="AG46">
        <f t="shared" si="37"/>
        <v>2098</v>
      </c>
      <c r="AH46" s="1">
        <f t="shared" si="31"/>
        <v>0.16149588508100501</v>
      </c>
    </row>
    <row r="47" spans="12:34" x14ac:dyDescent="0.25">
      <c r="L47">
        <f t="shared" si="32"/>
        <v>2089</v>
      </c>
      <c r="M47" s="1">
        <f t="shared" si="2"/>
        <v>1</v>
      </c>
      <c r="N47" s="1">
        <f t="shared" si="22"/>
        <v>1.8436140954293345</v>
      </c>
      <c r="O47" s="1">
        <f t="shared" si="23"/>
        <v>0.405783729151663</v>
      </c>
      <c r="Q47">
        <f t="shared" si="33"/>
        <v>2099</v>
      </c>
      <c r="R47" s="1">
        <f t="shared" si="16"/>
        <v>1</v>
      </c>
      <c r="S47" s="1">
        <f t="shared" si="24"/>
        <v>2.1186029362657091</v>
      </c>
      <c r="T47" s="1">
        <f t="shared" si="25"/>
        <v>0.33057551335985191</v>
      </c>
      <c r="V47">
        <f t="shared" si="34"/>
        <v>2089</v>
      </c>
      <c r="W47" s="1">
        <f t="shared" si="26"/>
        <v>1</v>
      </c>
      <c r="X47" s="1">
        <f t="shared" si="27"/>
        <v>0.22010231433881802</v>
      </c>
      <c r="Z47">
        <f t="shared" si="35"/>
        <v>2099</v>
      </c>
      <c r="AA47" s="1">
        <f t="shared" si="28"/>
        <v>1</v>
      </c>
      <c r="AB47" s="1">
        <f t="shared" si="29"/>
        <v>0.15603467157585027</v>
      </c>
      <c r="AD47">
        <f t="shared" si="36"/>
        <v>2089</v>
      </c>
      <c r="AE47" s="1">
        <f t="shared" si="30"/>
        <v>0.22010231433881802</v>
      </c>
      <c r="AG47">
        <f t="shared" si="37"/>
        <v>2099</v>
      </c>
      <c r="AH47" s="1">
        <f t="shared" si="31"/>
        <v>0.15603467157585027</v>
      </c>
    </row>
    <row r="48" spans="12:34" x14ac:dyDescent="0.25">
      <c r="L48">
        <f t="shared" si="32"/>
        <v>2090</v>
      </c>
      <c r="M48" s="1">
        <f t="shared" si="2"/>
        <v>1</v>
      </c>
      <c r="N48" s="1">
        <f t="shared" si="22"/>
        <v>1.8694246927653453</v>
      </c>
      <c r="O48" s="1">
        <f t="shared" si="23"/>
        <v>0.39755043609641194</v>
      </c>
      <c r="Q48">
        <f t="shared" si="33"/>
        <v>2100</v>
      </c>
      <c r="R48" s="1">
        <f t="shared" si="16"/>
        <v>1</v>
      </c>
      <c r="S48" s="1">
        <f t="shared" si="24"/>
        <v>2.1482633773734294</v>
      </c>
      <c r="T48" s="1">
        <f t="shared" si="25"/>
        <v>0.32386818410327528</v>
      </c>
      <c r="V48">
        <f t="shared" si="34"/>
        <v>2090</v>
      </c>
      <c r="W48" s="1">
        <f t="shared" si="26"/>
        <v>1</v>
      </c>
      <c r="X48" s="1">
        <f t="shared" si="27"/>
        <v>0.21265924090707056</v>
      </c>
      <c r="Z48">
        <f t="shared" si="35"/>
        <v>2100</v>
      </c>
      <c r="AA48" s="1">
        <f t="shared" si="28"/>
        <v>1</v>
      </c>
      <c r="AB48" s="1">
        <f t="shared" si="29"/>
        <v>0.15075813678826111</v>
      </c>
      <c r="AD48">
        <f t="shared" si="36"/>
        <v>2090</v>
      </c>
      <c r="AE48" s="1">
        <f t="shared" si="30"/>
        <v>0.21265924090707056</v>
      </c>
      <c r="AG48">
        <f t="shared" si="37"/>
        <v>2100</v>
      </c>
      <c r="AH48" s="1">
        <f t="shared" si="31"/>
        <v>0.15075813678826111</v>
      </c>
    </row>
    <row r="49" spans="12:34" x14ac:dyDescent="0.25">
      <c r="L49">
        <f t="shared" si="32"/>
        <v>2091</v>
      </c>
      <c r="M49" s="1">
        <f t="shared" si="2"/>
        <v>1</v>
      </c>
      <c r="N49" s="1">
        <f t="shared" si="22"/>
        <v>1.8955966384640601</v>
      </c>
      <c r="O49" s="1">
        <f t="shared" si="23"/>
        <v>0.3894841953640209</v>
      </c>
      <c r="Q49">
        <f t="shared" si="33"/>
        <v>2101</v>
      </c>
      <c r="R49" s="1">
        <f t="shared" si="16"/>
        <v>1</v>
      </c>
      <c r="S49" s="1">
        <f t="shared" si="24"/>
        <v>2.1783390646566576</v>
      </c>
      <c r="T49" s="1">
        <f t="shared" si="25"/>
        <v>0.31729694558523791</v>
      </c>
      <c r="V49">
        <f t="shared" si="34"/>
        <v>2091</v>
      </c>
      <c r="W49" s="1">
        <f t="shared" si="26"/>
        <v>1</v>
      </c>
      <c r="X49" s="1">
        <f t="shared" si="27"/>
        <v>0.20546786561069619</v>
      </c>
      <c r="Z49">
        <f t="shared" si="35"/>
        <v>2101</v>
      </c>
      <c r="AA49" s="1">
        <f t="shared" si="28"/>
        <v>1</v>
      </c>
      <c r="AB49" s="1">
        <f t="shared" si="29"/>
        <v>0.14566003554421367</v>
      </c>
      <c r="AD49">
        <f t="shared" si="36"/>
        <v>2091</v>
      </c>
      <c r="AE49" s="1">
        <f t="shared" si="30"/>
        <v>0.20546786561069619</v>
      </c>
      <c r="AG49">
        <f t="shared" si="37"/>
        <v>2101</v>
      </c>
      <c r="AH49" s="1">
        <f t="shared" si="31"/>
        <v>0.14566003554421367</v>
      </c>
    </row>
    <row r="50" spans="12:34" x14ac:dyDescent="0.25">
      <c r="L50">
        <f t="shared" si="32"/>
        <v>2092</v>
      </c>
      <c r="M50" s="1">
        <f t="shared" si="2"/>
        <v>1</v>
      </c>
      <c r="N50" s="1">
        <f t="shared" si="22"/>
        <v>1.9221349914025572</v>
      </c>
      <c r="O50" s="1">
        <f t="shared" si="23"/>
        <v>0.38158161748706992</v>
      </c>
      <c r="Q50">
        <f t="shared" si="33"/>
        <v>2102</v>
      </c>
      <c r="R50" s="1">
        <f t="shared" si="16"/>
        <v>1</v>
      </c>
      <c r="S50" s="1">
        <f t="shared" si="24"/>
        <v>2.2088358115618512</v>
      </c>
      <c r="T50" s="1">
        <f t="shared" si="25"/>
        <v>0.31085903654437808</v>
      </c>
      <c r="V50">
        <f t="shared" si="34"/>
        <v>2092</v>
      </c>
      <c r="W50" s="1">
        <f t="shared" si="26"/>
        <v>1</v>
      </c>
      <c r="X50" s="1">
        <f t="shared" si="27"/>
        <v>0.19851967691854708</v>
      </c>
      <c r="Z50">
        <f t="shared" si="35"/>
        <v>2102</v>
      </c>
      <c r="AA50" s="1">
        <f t="shared" si="28"/>
        <v>1</v>
      </c>
      <c r="AB50" s="1">
        <f t="shared" si="29"/>
        <v>0.14073433385914366</v>
      </c>
      <c r="AD50">
        <f t="shared" si="36"/>
        <v>2092</v>
      </c>
      <c r="AE50" s="1">
        <f t="shared" si="30"/>
        <v>0.19851967691854708</v>
      </c>
      <c r="AG50">
        <f t="shared" si="37"/>
        <v>2102</v>
      </c>
      <c r="AH50" s="1">
        <f t="shared" si="31"/>
        <v>0.14073433385914366</v>
      </c>
    </row>
    <row r="51" spans="12:34" x14ac:dyDescent="0.25">
      <c r="L51">
        <f t="shared" si="32"/>
        <v>2093</v>
      </c>
      <c r="M51" s="1">
        <f t="shared" si="2"/>
        <v>1</v>
      </c>
      <c r="N51" s="1">
        <f t="shared" si="22"/>
        <v>1.9490448812821934</v>
      </c>
      <c r="O51" s="1">
        <f t="shared" si="23"/>
        <v>0.37383938176994114</v>
      </c>
      <c r="Q51">
        <f t="shared" si="33"/>
        <v>2103</v>
      </c>
      <c r="R51" s="1">
        <f t="shared" si="16"/>
        <v>1</v>
      </c>
      <c r="S51" s="1">
        <f t="shared" si="24"/>
        <v>2.2397595129237171</v>
      </c>
      <c r="T51" s="1">
        <f t="shared" si="25"/>
        <v>0.30455175174492694</v>
      </c>
      <c r="V51">
        <f t="shared" si="34"/>
        <v>2093</v>
      </c>
      <c r="W51" s="1">
        <f t="shared" si="26"/>
        <v>1</v>
      </c>
      <c r="X51" s="1">
        <f t="shared" si="27"/>
        <v>0.19180645112903102</v>
      </c>
      <c r="Z51">
        <f t="shared" si="35"/>
        <v>2103</v>
      </c>
      <c r="AA51" s="1">
        <f t="shared" si="28"/>
        <v>1</v>
      </c>
      <c r="AB51" s="1">
        <f t="shared" si="29"/>
        <v>0.13597520179627406</v>
      </c>
      <c r="AD51">
        <f t="shared" si="36"/>
        <v>2093</v>
      </c>
      <c r="AE51" s="1">
        <f t="shared" si="30"/>
        <v>0.19180645112903102</v>
      </c>
      <c r="AG51">
        <f t="shared" si="37"/>
        <v>2103</v>
      </c>
      <c r="AH51" s="1">
        <f t="shared" si="31"/>
        <v>0.13597520179627406</v>
      </c>
    </row>
    <row r="52" spans="12:34" x14ac:dyDescent="0.25">
      <c r="L52">
        <f t="shared" si="32"/>
        <v>2094</v>
      </c>
      <c r="M52" s="1">
        <f t="shared" si="2"/>
        <v>1</v>
      </c>
      <c r="N52" s="1">
        <f t="shared" si="22"/>
        <v>1.9763315096201441</v>
      </c>
      <c r="O52" s="1">
        <f t="shared" si="23"/>
        <v>0.3662542348934496</v>
      </c>
      <c r="Q52">
        <f t="shared" si="33"/>
        <v>2104</v>
      </c>
      <c r="R52" s="1">
        <f t="shared" si="16"/>
        <v>1</v>
      </c>
      <c r="S52" s="1">
        <f t="shared" si="24"/>
        <v>2.2711161461046494</v>
      </c>
      <c r="T52" s="1">
        <f t="shared" si="25"/>
        <v>0.2983724408399574</v>
      </c>
      <c r="V52">
        <f t="shared" si="34"/>
        <v>2094</v>
      </c>
      <c r="W52" s="1">
        <f t="shared" si="26"/>
        <v>1</v>
      </c>
      <c r="X52" s="1">
        <f t="shared" si="27"/>
        <v>0.18532024263674499</v>
      </c>
      <c r="Z52">
        <f t="shared" si="35"/>
        <v>2104</v>
      </c>
      <c r="AA52" s="1">
        <f t="shared" si="28"/>
        <v>1</v>
      </c>
      <c r="AB52" s="1">
        <f t="shared" si="29"/>
        <v>0.13137700656644835</v>
      </c>
      <c r="AD52">
        <f t="shared" si="36"/>
        <v>2094</v>
      </c>
      <c r="AE52" s="1">
        <f t="shared" si="30"/>
        <v>0.18532024263674499</v>
      </c>
      <c r="AG52">
        <f t="shared" si="37"/>
        <v>2104</v>
      </c>
      <c r="AH52" s="1">
        <f t="shared" si="31"/>
        <v>0.13137700656644835</v>
      </c>
    </row>
    <row r="53" spans="12:34" x14ac:dyDescent="0.25">
      <c r="L53">
        <f t="shared" si="32"/>
        <v>2095</v>
      </c>
      <c r="M53" s="1">
        <f t="shared" si="2"/>
        <v>1</v>
      </c>
      <c r="N53" s="1">
        <f t="shared" si="22"/>
        <v>2.0040001507548264</v>
      </c>
      <c r="O53" s="1">
        <f t="shared" si="23"/>
        <v>0.35882298954778546</v>
      </c>
      <c r="Q53">
        <f t="shared" si="33"/>
        <v>2105</v>
      </c>
      <c r="R53" s="1">
        <f t="shared" si="16"/>
        <v>1</v>
      </c>
      <c r="S53" s="1">
        <f t="shared" si="24"/>
        <v>2.3029117721501144</v>
      </c>
      <c r="T53" s="1">
        <f t="shared" si="25"/>
        <v>0.29231850725769742</v>
      </c>
      <c r="V53">
        <f t="shared" si="34"/>
        <v>2095</v>
      </c>
      <c r="W53" s="1">
        <f t="shared" si="26"/>
        <v>1</v>
      </c>
      <c r="X53" s="1">
        <f t="shared" si="27"/>
        <v>0.17905337452825601</v>
      </c>
      <c r="Z53">
        <f t="shared" si="35"/>
        <v>2105</v>
      </c>
      <c r="AA53" s="1">
        <f t="shared" si="28"/>
        <v>1</v>
      </c>
      <c r="AB53" s="1">
        <f t="shared" si="29"/>
        <v>0.12693430586130278</v>
      </c>
      <c r="AD53">
        <f t="shared" si="36"/>
        <v>2095</v>
      </c>
      <c r="AE53" s="1">
        <f t="shared" si="30"/>
        <v>0.17905337452825601</v>
      </c>
      <c r="AG53">
        <f t="shared" si="37"/>
        <v>2105</v>
      </c>
      <c r="AH53" s="1">
        <f t="shared" si="31"/>
        <v>0.12693430586130278</v>
      </c>
    </row>
    <row r="54" spans="12:34" x14ac:dyDescent="0.25">
      <c r="L54">
        <f t="shared" si="32"/>
        <v>2096</v>
      </c>
      <c r="M54" s="1">
        <f t="shared" si="2"/>
        <v>1</v>
      </c>
      <c r="N54" s="1">
        <f t="shared" si="22"/>
        <v>2.032056152865394</v>
      </c>
      <c r="O54" s="1">
        <f t="shared" si="23"/>
        <v>0.35154252309319278</v>
      </c>
      <c r="Q54">
        <f t="shared" si="33"/>
        <v>2106</v>
      </c>
      <c r="R54" s="1">
        <f t="shared" si="16"/>
        <v>1</v>
      </c>
      <c r="S54" s="1">
        <f t="shared" si="24"/>
        <v>2.3351525369602162</v>
      </c>
      <c r="T54" s="1">
        <f t="shared" si="25"/>
        <v>0.28638740711043992</v>
      </c>
      <c r="V54">
        <f t="shared" si="34"/>
        <v>2096</v>
      </c>
      <c r="W54" s="1">
        <f t="shared" si="26"/>
        <v>1</v>
      </c>
      <c r="X54" s="1">
        <f t="shared" si="27"/>
        <v>0.17299842949589955</v>
      </c>
      <c r="Z54">
        <f t="shared" si="35"/>
        <v>2106</v>
      </c>
      <c r="AA54" s="1">
        <f t="shared" si="28"/>
        <v>1</v>
      </c>
      <c r="AB54" s="1">
        <f t="shared" si="29"/>
        <v>0.12264184141188678</v>
      </c>
      <c r="AD54">
        <f t="shared" si="36"/>
        <v>2096</v>
      </c>
      <c r="AE54" s="1">
        <f t="shared" si="30"/>
        <v>0.17299842949589955</v>
      </c>
      <c r="AG54">
        <f t="shared" si="37"/>
        <v>2106</v>
      </c>
      <c r="AH54" s="1">
        <f t="shared" si="31"/>
        <v>0.12264184141188678</v>
      </c>
    </row>
    <row r="55" spans="12:34" x14ac:dyDescent="0.25">
      <c r="L55">
        <f t="shared" si="32"/>
        <v>2097</v>
      </c>
      <c r="M55" s="1">
        <f t="shared" si="2"/>
        <v>1</v>
      </c>
      <c r="N55" s="1">
        <f t="shared" si="22"/>
        <v>2.0605049390055097</v>
      </c>
      <c r="O55" s="1">
        <f t="shared" si="23"/>
        <v>0.34440977624782365</v>
      </c>
      <c r="Q55">
        <f t="shared" si="33"/>
        <v>2107</v>
      </c>
      <c r="R55" s="1">
        <f t="shared" si="16"/>
        <v>1</v>
      </c>
      <c r="S55" s="1">
        <f t="shared" si="24"/>
        <v>2.3678446724776596</v>
      </c>
      <c r="T55" s="1">
        <f t="shared" si="25"/>
        <v>0.28057664812559041</v>
      </c>
      <c r="V55">
        <f t="shared" si="34"/>
        <v>2097</v>
      </c>
      <c r="W55" s="1">
        <f t="shared" si="26"/>
        <v>1</v>
      </c>
      <c r="X55" s="1">
        <f t="shared" si="27"/>
        <v>0.16714824105884016</v>
      </c>
      <c r="Z55">
        <f t="shared" si="35"/>
        <v>2107</v>
      </c>
      <c r="AA55" s="1">
        <f t="shared" si="28"/>
        <v>1</v>
      </c>
      <c r="AB55" s="1">
        <f t="shared" si="29"/>
        <v>0.11849453276510799</v>
      </c>
      <c r="AD55">
        <f t="shared" si="36"/>
        <v>2097</v>
      </c>
      <c r="AE55" s="1">
        <f t="shared" si="30"/>
        <v>0.16714824105884016</v>
      </c>
      <c r="AG55">
        <f t="shared" si="37"/>
        <v>2107</v>
      </c>
      <c r="AH55" s="1">
        <f t="shared" si="31"/>
        <v>0.11849453276510799</v>
      </c>
    </row>
    <row r="56" spans="12:34" x14ac:dyDescent="0.25">
      <c r="L56">
        <f t="shared" si="32"/>
        <v>2098</v>
      </c>
      <c r="M56" s="1">
        <f t="shared" si="2"/>
        <v>1</v>
      </c>
      <c r="N56" s="1">
        <f t="shared" si="22"/>
        <v>2.0893520081515868</v>
      </c>
      <c r="O56" s="1">
        <f t="shared" si="23"/>
        <v>0.33742175180221573</v>
      </c>
      <c r="Q56">
        <f t="shared" si="33"/>
        <v>2108</v>
      </c>
      <c r="R56" s="1">
        <f t="shared" si="16"/>
        <v>1</v>
      </c>
      <c r="S56" s="1">
        <f t="shared" si="24"/>
        <v>2.4009944978923468</v>
      </c>
      <c r="T56" s="1">
        <f t="shared" si="25"/>
        <v>0.27488378859840457</v>
      </c>
      <c r="V56">
        <f t="shared" si="34"/>
        <v>2098</v>
      </c>
      <c r="W56" s="1">
        <f t="shared" si="26"/>
        <v>1</v>
      </c>
      <c r="X56" s="1">
        <f t="shared" si="27"/>
        <v>0.16149588508100501</v>
      </c>
      <c r="Z56">
        <f t="shared" si="35"/>
        <v>2108</v>
      </c>
      <c r="AA56" s="1">
        <f t="shared" si="28"/>
        <v>1</v>
      </c>
      <c r="AB56" s="1">
        <f t="shared" si="29"/>
        <v>0.11448747127063574</v>
      </c>
      <c r="AD56">
        <f t="shared" si="36"/>
        <v>2098</v>
      </c>
      <c r="AE56" s="1">
        <f t="shared" si="30"/>
        <v>0.16149588508100501</v>
      </c>
      <c r="AG56">
        <f t="shared" si="37"/>
        <v>2108</v>
      </c>
      <c r="AH56" s="1">
        <f t="shared" si="31"/>
        <v>0.11448747127063574</v>
      </c>
    </row>
    <row r="57" spans="12:34" x14ac:dyDescent="0.25">
      <c r="L57">
        <f t="shared" si="32"/>
        <v>2099</v>
      </c>
      <c r="M57" s="1">
        <f t="shared" si="2"/>
        <v>1</v>
      </c>
      <c r="N57" s="1">
        <f t="shared" si="22"/>
        <v>2.1186029362657091</v>
      </c>
      <c r="O57" s="1">
        <f t="shared" si="23"/>
        <v>0.33057551335985191</v>
      </c>
      <c r="Q57">
        <f t="shared" si="33"/>
        <v>2109</v>
      </c>
      <c r="R57" s="1">
        <f t="shared" si="16"/>
        <v>1</v>
      </c>
      <c r="S57" s="1">
        <f t="shared" si="24"/>
        <v>2.43460842086284</v>
      </c>
      <c r="T57" s="1">
        <f t="shared" si="25"/>
        <v>0.26930643636597323</v>
      </c>
      <c r="V57">
        <f t="shared" si="34"/>
        <v>2099</v>
      </c>
      <c r="W57" s="1">
        <f t="shared" si="26"/>
        <v>1</v>
      </c>
      <c r="X57" s="1">
        <f t="shared" si="27"/>
        <v>0.15603467157585027</v>
      </c>
      <c r="Z57">
        <f t="shared" si="35"/>
        <v>2109</v>
      </c>
      <c r="AA57" s="1">
        <f t="shared" si="28"/>
        <v>1</v>
      </c>
      <c r="AB57" s="1">
        <f t="shared" si="29"/>
        <v>0.11061591427114567</v>
      </c>
      <c r="AD57">
        <f t="shared" si="36"/>
        <v>2099</v>
      </c>
      <c r="AE57" s="1">
        <f t="shared" si="30"/>
        <v>0.15603467157585027</v>
      </c>
      <c r="AG57">
        <f t="shared" si="37"/>
        <v>2109</v>
      </c>
      <c r="AH57" s="1">
        <f t="shared" si="31"/>
        <v>0.11061591427114567</v>
      </c>
    </row>
    <row r="58" spans="12:34" x14ac:dyDescent="0.25">
      <c r="L58">
        <f t="shared" si="32"/>
        <v>2100</v>
      </c>
      <c r="M58" s="1">
        <f t="shared" si="2"/>
        <v>1</v>
      </c>
      <c r="N58" s="1">
        <f t="shared" si="22"/>
        <v>2.1482633773734294</v>
      </c>
      <c r="O58" s="1">
        <f t="shared" si="23"/>
        <v>0.32386818410327528</v>
      </c>
      <c r="Q58">
        <f t="shared" si="33"/>
        <v>2110</v>
      </c>
      <c r="R58" s="1">
        <f t="shared" si="16"/>
        <v>1</v>
      </c>
      <c r="S58" s="1">
        <f t="shared" si="24"/>
        <v>2.4686929387549199</v>
      </c>
      <c r="T58" s="1">
        <f t="shared" si="25"/>
        <v>0.26384224780202603</v>
      </c>
      <c r="V58">
        <f t="shared" si="34"/>
        <v>2100</v>
      </c>
      <c r="W58" s="1">
        <f t="shared" si="26"/>
        <v>1</v>
      </c>
      <c r="X58" s="1">
        <f t="shared" si="27"/>
        <v>0.15075813678826111</v>
      </c>
      <c r="Z58">
        <f t="shared" si="35"/>
        <v>2110</v>
      </c>
      <c r="AA58" s="1">
        <f t="shared" si="28"/>
        <v>1</v>
      </c>
      <c r="AB58" s="1">
        <f t="shared" si="29"/>
        <v>0.10687527948902965</v>
      </c>
      <c r="AD58">
        <f t="shared" si="36"/>
        <v>2100</v>
      </c>
      <c r="AE58" s="1">
        <f t="shared" si="30"/>
        <v>0.15075813678826111</v>
      </c>
      <c r="AG58">
        <f t="shared" si="37"/>
        <v>2110</v>
      </c>
      <c r="AH58" s="1">
        <f t="shared" si="31"/>
        <v>0.10687527948902965</v>
      </c>
    </row>
    <row r="59" spans="12:34" x14ac:dyDescent="0.25">
      <c r="L59">
        <f t="shared" si="32"/>
        <v>2101</v>
      </c>
      <c r="M59" s="1">
        <f t="shared" si="2"/>
        <v>1</v>
      </c>
      <c r="N59" s="1">
        <f t="shared" si="22"/>
        <v>2.1783390646566576</v>
      </c>
      <c r="O59" s="1">
        <f t="shared" si="23"/>
        <v>0.31729694558523791</v>
      </c>
      <c r="Q59">
        <f t="shared" si="33"/>
        <v>2111</v>
      </c>
      <c r="R59" s="1">
        <f t="shared" si="16"/>
        <v>1</v>
      </c>
      <c r="S59" s="1">
        <f t="shared" si="24"/>
        <v>2.5032546398974889</v>
      </c>
      <c r="T59" s="1">
        <f t="shared" si="25"/>
        <v>0.25848892683212987</v>
      </c>
      <c r="V59">
        <f t="shared" si="34"/>
        <v>2101</v>
      </c>
      <c r="W59" s="1">
        <f t="shared" si="26"/>
        <v>1</v>
      </c>
      <c r="X59" s="1">
        <f t="shared" si="27"/>
        <v>0.14566003554421367</v>
      </c>
      <c r="Z59">
        <f t="shared" si="35"/>
        <v>2111</v>
      </c>
      <c r="AA59" s="1">
        <f t="shared" si="28"/>
        <v>1</v>
      </c>
      <c r="AB59" s="1">
        <f t="shared" si="29"/>
        <v>0.10326113960292721</v>
      </c>
      <c r="AD59">
        <f t="shared" si="36"/>
        <v>2101</v>
      </c>
      <c r="AE59" s="1">
        <f t="shared" si="30"/>
        <v>0.14566003554421367</v>
      </c>
      <c r="AG59">
        <f t="shared" si="37"/>
        <v>2111</v>
      </c>
      <c r="AH59" s="1">
        <f t="shared" si="31"/>
        <v>0.10326113960292721</v>
      </c>
    </row>
    <row r="60" spans="12:34" x14ac:dyDescent="0.25">
      <c r="L60">
        <f t="shared" si="32"/>
        <v>2102</v>
      </c>
      <c r="M60" s="1">
        <f t="shared" si="2"/>
        <v>1</v>
      </c>
      <c r="N60" s="1">
        <f t="shared" si="22"/>
        <v>2.2088358115618512</v>
      </c>
      <c r="O60" s="1">
        <f t="shared" si="23"/>
        <v>0.31085903654437808</v>
      </c>
      <c r="Q60">
        <f t="shared" si="33"/>
        <v>2112</v>
      </c>
      <c r="R60" s="1">
        <f t="shared" si="16"/>
        <v>1</v>
      </c>
      <c r="S60" s="1">
        <f t="shared" si="24"/>
        <v>2.5383002048560539</v>
      </c>
      <c r="T60" s="1">
        <f t="shared" si="25"/>
        <v>0.25324422396886931</v>
      </c>
      <c r="V60">
        <f t="shared" si="34"/>
        <v>2102</v>
      </c>
      <c r="W60" s="1">
        <f t="shared" si="26"/>
        <v>1</v>
      </c>
      <c r="X60" s="1">
        <f t="shared" si="27"/>
        <v>0.14073433385914366</v>
      </c>
      <c r="Z60">
        <f t="shared" si="35"/>
        <v>2112</v>
      </c>
      <c r="AA60" s="1">
        <f t="shared" si="28"/>
        <v>1</v>
      </c>
      <c r="AB60" s="1">
        <f t="shared" si="29"/>
        <v>9.9769217007659144E-2</v>
      </c>
      <c r="AD60">
        <f t="shared" si="36"/>
        <v>2102</v>
      </c>
      <c r="AE60" s="1">
        <f t="shared" si="30"/>
        <v>0.14073433385914366</v>
      </c>
      <c r="AG60">
        <f t="shared" si="37"/>
        <v>2112</v>
      </c>
      <c r="AH60" s="1">
        <f t="shared" si="31"/>
        <v>9.9769217007659144E-2</v>
      </c>
    </row>
    <row r="61" spans="12:34" x14ac:dyDescent="0.25">
      <c r="L61">
        <f t="shared" si="32"/>
        <v>2103</v>
      </c>
      <c r="M61" s="1">
        <f t="shared" si="2"/>
        <v>1</v>
      </c>
      <c r="N61" s="1">
        <f t="shared" si="22"/>
        <v>2.2397595129237171</v>
      </c>
      <c r="O61" s="1">
        <f t="shared" si="23"/>
        <v>0.30455175174492694</v>
      </c>
      <c r="Q61">
        <f t="shared" si="33"/>
        <v>2113</v>
      </c>
      <c r="R61" s="1">
        <f t="shared" si="16"/>
        <v>1</v>
      </c>
      <c r="S61" s="1">
        <f t="shared" si="24"/>
        <v>2.573836407724039</v>
      </c>
      <c r="T61" s="1">
        <f t="shared" si="25"/>
        <v>0.24810593536660241</v>
      </c>
      <c r="V61">
        <f t="shared" si="34"/>
        <v>2103</v>
      </c>
      <c r="W61" s="1">
        <f t="shared" si="26"/>
        <v>1</v>
      </c>
      <c r="X61" s="1">
        <f t="shared" si="27"/>
        <v>0.13597520179627406</v>
      </c>
      <c r="Z61">
        <f t="shared" si="35"/>
        <v>2113</v>
      </c>
      <c r="AA61" s="1">
        <f t="shared" si="28"/>
        <v>1</v>
      </c>
      <c r="AB61" s="1">
        <f t="shared" si="29"/>
        <v>9.6395378751361491E-2</v>
      </c>
      <c r="AD61">
        <f t="shared" si="36"/>
        <v>2103</v>
      </c>
      <c r="AE61" s="1">
        <f t="shared" si="30"/>
        <v>0.13597520179627406</v>
      </c>
      <c r="AG61">
        <f t="shared" si="37"/>
        <v>2113</v>
      </c>
      <c r="AH61" s="1">
        <f t="shared" si="31"/>
        <v>9.6395378751361491E-2</v>
      </c>
    </row>
    <row r="62" spans="12:34" x14ac:dyDescent="0.25">
      <c r="L62">
        <f t="shared" si="32"/>
        <v>2104</v>
      </c>
      <c r="M62" s="1">
        <f t="shared" si="2"/>
        <v>1</v>
      </c>
      <c r="N62" s="1">
        <f t="shared" si="22"/>
        <v>2.2711161461046494</v>
      </c>
      <c r="O62" s="1">
        <f t="shared" si="23"/>
        <v>0.2983724408399574</v>
      </c>
      <c r="Q62">
        <f t="shared" si="33"/>
        <v>2114</v>
      </c>
      <c r="R62" s="1">
        <f t="shared" si="16"/>
        <v>1</v>
      </c>
      <c r="S62" s="1">
        <f t="shared" si="24"/>
        <v>2.6098701174321759</v>
      </c>
      <c r="T62" s="1">
        <f t="shared" si="25"/>
        <v>0.24307190189539607</v>
      </c>
      <c r="V62">
        <f t="shared" si="34"/>
        <v>2104</v>
      </c>
      <c r="W62" s="1">
        <f t="shared" si="26"/>
        <v>1</v>
      </c>
      <c r="X62" s="1">
        <f t="shared" si="27"/>
        <v>0.13137700656644835</v>
      </c>
      <c r="Z62">
        <f t="shared" si="35"/>
        <v>2114</v>
      </c>
      <c r="AA62" s="1">
        <f t="shared" si="28"/>
        <v>1</v>
      </c>
      <c r="AB62" s="1">
        <f t="shared" si="29"/>
        <v>9.3135631643827543E-2</v>
      </c>
      <c r="AD62">
        <f t="shared" si="36"/>
        <v>2104</v>
      </c>
      <c r="AE62" s="1">
        <f t="shared" si="30"/>
        <v>0.13137700656644835</v>
      </c>
      <c r="AG62">
        <f t="shared" si="37"/>
        <v>2114</v>
      </c>
      <c r="AH62" s="1">
        <f t="shared" si="31"/>
        <v>9.3135631643827543E-2</v>
      </c>
    </row>
    <row r="63" spans="12:34" x14ac:dyDescent="0.25">
      <c r="M63" s="13"/>
      <c r="N63" s="13"/>
      <c r="O63" s="13"/>
    </row>
    <row r="64" spans="12:34" x14ac:dyDescent="0.25">
      <c r="L64" s="315"/>
      <c r="M64" s="13"/>
      <c r="N64" s="13"/>
      <c r="O64" s="13"/>
    </row>
    <row r="65" spans="12:15" x14ac:dyDescent="0.25">
      <c r="L65" s="256"/>
      <c r="M65" s="13"/>
      <c r="N65" s="13"/>
      <c r="O65" s="13"/>
    </row>
    <row r="66" spans="12:15" x14ac:dyDescent="0.25">
      <c r="M66" s="13"/>
      <c r="N66" s="13"/>
      <c r="O66" s="13"/>
    </row>
    <row r="67" spans="12:15" x14ac:dyDescent="0.25">
      <c r="M67" s="13"/>
      <c r="N67" s="13"/>
      <c r="O67" s="13"/>
    </row>
  </sheetData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CD3C-0749-486B-9CAD-22DCD005B344}">
  <dimension ref="A1:AN105"/>
  <sheetViews>
    <sheetView topLeftCell="A37" zoomScale="70" zoomScaleNormal="70" workbookViewId="0">
      <selection activeCell="AF1" sqref="AF1:AF1048576"/>
    </sheetView>
  </sheetViews>
  <sheetFormatPr defaultRowHeight="15" x14ac:dyDescent="0.25"/>
  <cols>
    <col min="1" max="1" width="32.28515625" bestFit="1" customWidth="1"/>
    <col min="2" max="2" width="9.5703125" bestFit="1" customWidth="1"/>
    <col min="3" max="3" width="11.85546875" bestFit="1" customWidth="1"/>
    <col min="4" max="4" width="10.5703125" bestFit="1" customWidth="1"/>
    <col min="5" max="5" width="11.85546875" bestFit="1" customWidth="1"/>
    <col min="6" max="6" width="9.5703125" bestFit="1" customWidth="1"/>
    <col min="7" max="7" width="11.85546875" bestFit="1" customWidth="1"/>
    <col min="8" max="8" width="10.5703125" bestFit="1" customWidth="1"/>
    <col min="9" max="9" width="11.85546875" bestFit="1" customWidth="1"/>
    <col min="10" max="10" width="8.85546875" bestFit="1" customWidth="1"/>
    <col min="11" max="14" width="10.5703125" bestFit="1" customWidth="1"/>
    <col min="15" max="15" width="8.85546875" bestFit="1" customWidth="1"/>
    <col min="16" max="19" width="10.5703125" bestFit="1" customWidth="1"/>
    <col min="20" max="20" width="8.85546875" bestFit="1" customWidth="1"/>
    <col min="21" max="21" width="10.5703125" bestFit="1" customWidth="1"/>
    <col min="22" max="22" width="9.5703125" bestFit="1" customWidth="1"/>
    <col min="23" max="23" width="10.5703125" bestFit="1" customWidth="1"/>
    <col min="24" max="24" width="9.5703125" bestFit="1" customWidth="1"/>
    <col min="25" max="25" width="10.5703125" bestFit="1" customWidth="1"/>
    <col min="26" max="26" width="9.5703125" bestFit="1" customWidth="1"/>
    <col min="27" max="27" width="10.5703125" bestFit="1" customWidth="1"/>
    <col min="28" max="28" width="9.5703125" bestFit="1" customWidth="1"/>
    <col min="29" max="29" width="10.5703125" bestFit="1" customWidth="1"/>
    <col min="30" max="30" width="8.85546875" bestFit="1" customWidth="1"/>
    <col min="31" max="39" width="10.5703125" bestFit="1" customWidth="1"/>
    <col min="40" max="40" width="8.85546875" bestFit="1" customWidth="1"/>
  </cols>
  <sheetData>
    <row r="1" spans="1:40" x14ac:dyDescent="0.25">
      <c r="A1" t="s">
        <v>246</v>
      </c>
    </row>
    <row r="2" spans="1:40" x14ac:dyDescent="0.25">
      <c r="A2" s="8" t="s">
        <v>75</v>
      </c>
      <c r="B2" s="8">
        <v>2022</v>
      </c>
      <c r="C2" s="8">
        <f>B2+1</f>
        <v>2023</v>
      </c>
      <c r="D2" s="8">
        <f t="shared" ref="D2:AN2" si="0">C2+1</f>
        <v>2024</v>
      </c>
      <c r="E2" s="8">
        <f t="shared" si="0"/>
        <v>2025</v>
      </c>
      <c r="F2" s="8">
        <f t="shared" si="0"/>
        <v>2026</v>
      </c>
      <c r="G2" s="8">
        <f t="shared" si="0"/>
        <v>2027</v>
      </c>
      <c r="H2" s="8">
        <f t="shared" si="0"/>
        <v>2028</v>
      </c>
      <c r="I2" s="8">
        <f t="shared" si="0"/>
        <v>2029</v>
      </c>
      <c r="J2" s="8">
        <f t="shared" si="0"/>
        <v>2030</v>
      </c>
      <c r="K2" s="8">
        <f t="shared" si="0"/>
        <v>2031</v>
      </c>
      <c r="L2" s="8">
        <f t="shared" si="0"/>
        <v>2032</v>
      </c>
      <c r="M2" s="8">
        <f t="shared" si="0"/>
        <v>2033</v>
      </c>
      <c r="N2" s="8">
        <f t="shared" si="0"/>
        <v>2034</v>
      </c>
      <c r="O2" s="8">
        <f t="shared" si="0"/>
        <v>2035</v>
      </c>
      <c r="P2" s="8">
        <f t="shared" si="0"/>
        <v>2036</v>
      </c>
      <c r="Q2" s="8">
        <f t="shared" si="0"/>
        <v>2037</v>
      </c>
      <c r="R2" s="8">
        <f t="shared" si="0"/>
        <v>2038</v>
      </c>
      <c r="S2" s="8">
        <f t="shared" si="0"/>
        <v>2039</v>
      </c>
      <c r="T2" s="8">
        <f t="shared" si="0"/>
        <v>2040</v>
      </c>
      <c r="U2" s="8">
        <f t="shared" si="0"/>
        <v>2041</v>
      </c>
      <c r="V2" s="8">
        <f t="shared" si="0"/>
        <v>2042</v>
      </c>
      <c r="W2" s="8">
        <f t="shared" si="0"/>
        <v>2043</v>
      </c>
      <c r="X2" s="8">
        <f t="shared" si="0"/>
        <v>2044</v>
      </c>
      <c r="Y2" s="8">
        <f t="shared" si="0"/>
        <v>2045</v>
      </c>
      <c r="Z2" s="8">
        <f t="shared" si="0"/>
        <v>2046</v>
      </c>
      <c r="AA2" s="8">
        <f t="shared" si="0"/>
        <v>2047</v>
      </c>
      <c r="AB2" s="8">
        <f>AA2+1</f>
        <v>2048</v>
      </c>
      <c r="AC2" s="8">
        <f t="shared" si="0"/>
        <v>2049</v>
      </c>
      <c r="AD2" s="8">
        <f t="shared" si="0"/>
        <v>2050</v>
      </c>
      <c r="AE2" s="8">
        <f t="shared" si="0"/>
        <v>2051</v>
      </c>
      <c r="AF2" s="8">
        <f t="shared" si="0"/>
        <v>2052</v>
      </c>
      <c r="AG2" s="8">
        <f t="shared" si="0"/>
        <v>2053</v>
      </c>
      <c r="AH2" s="8">
        <f t="shared" si="0"/>
        <v>2054</v>
      </c>
      <c r="AI2" s="8">
        <f t="shared" si="0"/>
        <v>2055</v>
      </c>
      <c r="AJ2" s="8">
        <f t="shared" si="0"/>
        <v>2056</v>
      </c>
      <c r="AK2" s="8">
        <f t="shared" si="0"/>
        <v>2057</v>
      </c>
      <c r="AL2" s="8">
        <f t="shared" si="0"/>
        <v>2058</v>
      </c>
      <c r="AM2" s="8">
        <f t="shared" si="0"/>
        <v>2059</v>
      </c>
      <c r="AN2" s="8">
        <f t="shared" si="0"/>
        <v>2060</v>
      </c>
    </row>
    <row r="3" spans="1:40" x14ac:dyDescent="0.25">
      <c r="A3" s="8" t="s">
        <v>70</v>
      </c>
      <c r="B3" s="269">
        <v>9.18</v>
      </c>
      <c r="C3" s="269">
        <v>9.32</v>
      </c>
      <c r="D3" s="269">
        <v>9.4600000000000009</v>
      </c>
      <c r="E3" s="269">
        <v>9.6</v>
      </c>
      <c r="F3" s="269">
        <v>9.74</v>
      </c>
      <c r="G3" s="269">
        <v>9.8800000000000008</v>
      </c>
      <c r="H3" s="269">
        <v>10.02</v>
      </c>
      <c r="I3" s="269">
        <v>10.16</v>
      </c>
      <c r="J3" s="269">
        <v>10.3</v>
      </c>
      <c r="K3" s="269">
        <v>10.450000000000001</v>
      </c>
      <c r="L3" s="269">
        <v>10.600000000000001</v>
      </c>
      <c r="M3" s="269">
        <v>10.75</v>
      </c>
      <c r="N3" s="269">
        <v>10.9</v>
      </c>
      <c r="O3" s="269">
        <v>11.05</v>
      </c>
      <c r="P3" s="269">
        <v>11.200000000000001</v>
      </c>
      <c r="Q3" s="269">
        <v>11.350000000000001</v>
      </c>
      <c r="R3" s="269">
        <v>11.5</v>
      </c>
      <c r="S3" s="269">
        <v>11.65</v>
      </c>
      <c r="T3" s="269">
        <v>11.8</v>
      </c>
      <c r="U3" s="269">
        <v>11.97</v>
      </c>
      <c r="V3" s="269">
        <v>12.14</v>
      </c>
      <c r="W3" s="269">
        <v>12.31</v>
      </c>
      <c r="X3" s="269">
        <v>12.48</v>
      </c>
      <c r="Y3" s="269">
        <v>12.65</v>
      </c>
      <c r="Z3" s="269">
        <v>12.82</v>
      </c>
      <c r="AA3" s="269">
        <v>12.99</v>
      </c>
      <c r="AB3" s="269">
        <v>13.16</v>
      </c>
      <c r="AC3" s="269">
        <v>13.33</v>
      </c>
      <c r="AD3" s="269">
        <v>13.5</v>
      </c>
      <c r="AE3" s="269">
        <v>13.71</v>
      </c>
      <c r="AF3" s="269">
        <v>13.92</v>
      </c>
      <c r="AG3" s="269">
        <v>14.129999999999999</v>
      </c>
      <c r="AH3" s="269">
        <v>14.34</v>
      </c>
      <c r="AI3" s="269">
        <v>14.55</v>
      </c>
      <c r="AJ3" s="269">
        <v>14.76</v>
      </c>
      <c r="AK3" s="269">
        <v>14.969999999999999</v>
      </c>
      <c r="AL3" s="269">
        <v>15.18</v>
      </c>
      <c r="AM3" s="269">
        <v>15.39</v>
      </c>
      <c r="AN3" s="269">
        <v>15.6</v>
      </c>
    </row>
    <row r="4" spans="1:40" x14ac:dyDescent="0.25">
      <c r="A4" s="8" t="s">
        <v>71</v>
      </c>
      <c r="B4" s="269">
        <v>6.22</v>
      </c>
      <c r="C4" s="269">
        <v>6.3174999999999999</v>
      </c>
      <c r="D4" s="269">
        <v>6.415</v>
      </c>
      <c r="E4" s="269">
        <v>6.5125000000000002</v>
      </c>
      <c r="F4" s="269">
        <v>6.6099999999999994</v>
      </c>
      <c r="G4" s="269">
        <v>6.7074999999999996</v>
      </c>
      <c r="H4" s="269">
        <v>6.8049999999999997</v>
      </c>
      <c r="I4" s="269">
        <v>6.9024999999999999</v>
      </c>
      <c r="J4" s="269">
        <v>7</v>
      </c>
      <c r="K4" s="269">
        <v>7.1</v>
      </c>
      <c r="L4" s="269">
        <v>7.2</v>
      </c>
      <c r="M4" s="269">
        <v>7.3</v>
      </c>
      <c r="N4" s="269">
        <v>7.4</v>
      </c>
      <c r="O4" s="269">
        <v>7.5</v>
      </c>
      <c r="P4" s="269">
        <v>7.6</v>
      </c>
      <c r="Q4" s="269">
        <v>7.7</v>
      </c>
      <c r="R4" s="269">
        <v>7.8</v>
      </c>
      <c r="S4" s="269">
        <v>7.9</v>
      </c>
      <c r="T4" s="269">
        <v>8</v>
      </c>
      <c r="U4" s="269">
        <v>8.1199999999999992</v>
      </c>
      <c r="V4" s="269">
        <v>8.24</v>
      </c>
      <c r="W4" s="269">
        <v>8.36</v>
      </c>
      <c r="X4" s="269">
        <v>8.48</v>
      </c>
      <c r="Y4" s="269">
        <v>8.6</v>
      </c>
      <c r="Z4" s="269">
        <v>8.7199999999999989</v>
      </c>
      <c r="AA4" s="269">
        <v>8.84</v>
      </c>
      <c r="AB4" s="269">
        <v>8.9599999999999991</v>
      </c>
      <c r="AC4" s="269">
        <v>9.08</v>
      </c>
      <c r="AD4" s="269">
        <v>9.1999999999999993</v>
      </c>
      <c r="AE4" s="269">
        <v>9.33</v>
      </c>
      <c r="AF4" s="269">
        <v>9.4599999999999991</v>
      </c>
      <c r="AG4" s="269">
        <v>9.59</v>
      </c>
      <c r="AH4" s="269">
        <v>9.7199999999999989</v>
      </c>
      <c r="AI4" s="269">
        <v>9.85</v>
      </c>
      <c r="AJ4" s="269">
        <v>9.98</v>
      </c>
      <c r="AK4" s="269">
        <v>10.11</v>
      </c>
      <c r="AL4" s="269">
        <v>10.24</v>
      </c>
      <c r="AM4" s="269">
        <v>10.37</v>
      </c>
      <c r="AN4" s="269">
        <v>10.5</v>
      </c>
    </row>
    <row r="5" spans="1:40" x14ac:dyDescent="0.25">
      <c r="A5" s="8" t="s">
        <v>72</v>
      </c>
      <c r="B5" s="269">
        <v>27.02</v>
      </c>
      <c r="C5" s="269">
        <v>27.4175</v>
      </c>
      <c r="D5" s="269">
        <v>27.814999999999998</v>
      </c>
      <c r="E5" s="269">
        <v>28.212499999999999</v>
      </c>
      <c r="F5" s="269">
        <v>28.61</v>
      </c>
      <c r="G5" s="269">
        <v>29.0075</v>
      </c>
      <c r="H5" s="269">
        <v>29.405000000000001</v>
      </c>
      <c r="I5" s="269">
        <v>29.802499999999998</v>
      </c>
      <c r="J5" s="269">
        <v>30.2</v>
      </c>
      <c r="K5" s="269">
        <v>30.65</v>
      </c>
      <c r="L5" s="269">
        <v>31.1</v>
      </c>
      <c r="M5" s="269">
        <v>31.55</v>
      </c>
      <c r="N5" s="269">
        <v>32</v>
      </c>
      <c r="O5" s="269">
        <v>32.450000000000003</v>
      </c>
      <c r="P5" s="269">
        <v>32.9</v>
      </c>
      <c r="Q5" s="269">
        <v>33.35</v>
      </c>
      <c r="R5" s="269">
        <v>33.800000000000004</v>
      </c>
      <c r="S5" s="269">
        <v>34.25</v>
      </c>
      <c r="T5" s="269">
        <v>34.700000000000003</v>
      </c>
      <c r="U5" s="269">
        <v>35.22</v>
      </c>
      <c r="V5" s="269">
        <v>35.74</v>
      </c>
      <c r="W5" s="269">
        <v>36.260000000000005</v>
      </c>
      <c r="X5" s="269">
        <v>36.78</v>
      </c>
      <c r="Y5" s="269">
        <v>37.299999999999997</v>
      </c>
      <c r="Z5" s="269">
        <v>37.82</v>
      </c>
      <c r="AA5" s="269">
        <v>38.339999999999996</v>
      </c>
      <c r="AB5" s="269">
        <v>38.86</v>
      </c>
      <c r="AC5" s="269">
        <v>39.379999999999995</v>
      </c>
      <c r="AD5" s="269">
        <v>39.9</v>
      </c>
      <c r="AE5" s="269">
        <v>40.489999999999995</v>
      </c>
      <c r="AF5" s="269">
        <v>41.08</v>
      </c>
      <c r="AG5" s="269">
        <v>41.67</v>
      </c>
      <c r="AH5" s="269">
        <v>42.26</v>
      </c>
      <c r="AI5" s="269">
        <v>42.849999999999994</v>
      </c>
      <c r="AJ5" s="269">
        <v>43.44</v>
      </c>
      <c r="AK5" s="269">
        <v>44.03</v>
      </c>
      <c r="AL5" s="269">
        <v>44.62</v>
      </c>
      <c r="AM5" s="269">
        <v>45.209999999999994</v>
      </c>
      <c r="AN5" s="269">
        <v>45.8</v>
      </c>
    </row>
    <row r="6" spans="1:40" x14ac:dyDescent="0.25">
      <c r="A6" s="8" t="s">
        <v>73</v>
      </c>
      <c r="B6" s="269">
        <v>42.24</v>
      </c>
      <c r="C6" s="269">
        <v>42.28125</v>
      </c>
      <c r="D6" s="269">
        <v>42.322500000000005</v>
      </c>
      <c r="E6" s="269">
        <v>42.363750000000003</v>
      </c>
      <c r="F6" s="269">
        <v>42.405000000000001</v>
      </c>
      <c r="G6" s="269">
        <v>42.446249999999999</v>
      </c>
      <c r="H6" s="269">
        <v>42.487499999999997</v>
      </c>
      <c r="I6" s="269">
        <v>42.528750000000002</v>
      </c>
      <c r="J6" s="269">
        <v>42.57</v>
      </c>
      <c r="K6" s="269">
        <v>42.616</v>
      </c>
      <c r="L6" s="269">
        <v>42.661999999999999</v>
      </c>
      <c r="M6" s="269">
        <v>42.707999999999998</v>
      </c>
      <c r="N6" s="269">
        <v>42.753999999999998</v>
      </c>
      <c r="O6" s="269">
        <v>42.8</v>
      </c>
      <c r="P6" s="269">
        <v>42.846000000000004</v>
      </c>
      <c r="Q6" s="269">
        <v>42.892000000000003</v>
      </c>
      <c r="R6" s="269">
        <v>42.938000000000002</v>
      </c>
      <c r="S6" s="269">
        <v>42.984000000000002</v>
      </c>
      <c r="T6" s="269">
        <v>43.03</v>
      </c>
      <c r="U6" s="269">
        <v>43.084000000000003</v>
      </c>
      <c r="V6" s="269">
        <v>43.137999999999998</v>
      </c>
      <c r="W6" s="269">
        <v>43.192</v>
      </c>
      <c r="X6" s="269">
        <v>43.246000000000002</v>
      </c>
      <c r="Y6" s="269">
        <v>43.3</v>
      </c>
      <c r="Z6" s="269">
        <v>43.353999999999999</v>
      </c>
      <c r="AA6" s="269">
        <v>43.408000000000001</v>
      </c>
      <c r="AB6" s="269">
        <v>43.462000000000003</v>
      </c>
      <c r="AC6" s="269">
        <v>43.515999999999998</v>
      </c>
      <c r="AD6" s="269">
        <v>43.57</v>
      </c>
      <c r="AE6" s="269">
        <v>43.631</v>
      </c>
      <c r="AF6" s="269">
        <v>43.692</v>
      </c>
      <c r="AG6" s="269">
        <v>43.753</v>
      </c>
      <c r="AH6" s="269">
        <v>43.814</v>
      </c>
      <c r="AI6" s="269">
        <v>43.875</v>
      </c>
      <c r="AJ6" s="269">
        <v>43.936</v>
      </c>
      <c r="AK6" s="269">
        <v>43.997</v>
      </c>
      <c r="AL6" s="269">
        <v>44.058</v>
      </c>
      <c r="AM6" s="269">
        <v>44.119</v>
      </c>
      <c r="AN6" s="269">
        <v>44.18</v>
      </c>
    </row>
    <row r="7" spans="1:40" x14ac:dyDescent="0.25">
      <c r="A7" s="8" t="s">
        <v>74</v>
      </c>
      <c r="B7" s="269">
        <v>60.59</v>
      </c>
      <c r="C7" s="269">
        <v>60.873750000000001</v>
      </c>
      <c r="D7" s="269">
        <v>61.157499999999999</v>
      </c>
      <c r="E7" s="269">
        <v>61.441250000000004</v>
      </c>
      <c r="F7" s="269">
        <v>61.725000000000001</v>
      </c>
      <c r="G7" s="269">
        <v>62.008749999999999</v>
      </c>
      <c r="H7" s="269">
        <v>62.292500000000004</v>
      </c>
      <c r="I7" s="269">
        <v>62.576250000000002</v>
      </c>
      <c r="J7" s="269">
        <v>62.86</v>
      </c>
      <c r="K7" s="269">
        <v>63.18</v>
      </c>
      <c r="L7" s="269">
        <v>63.5</v>
      </c>
      <c r="M7" s="269">
        <v>63.82</v>
      </c>
      <c r="N7" s="269">
        <v>64.14</v>
      </c>
      <c r="O7" s="269">
        <v>64.460000000000008</v>
      </c>
      <c r="P7" s="269">
        <v>64.78</v>
      </c>
      <c r="Q7" s="269">
        <v>65.099999999999994</v>
      </c>
      <c r="R7" s="269">
        <v>65.42</v>
      </c>
      <c r="S7" s="269">
        <v>65.740000000000009</v>
      </c>
      <c r="T7" s="269">
        <v>66.06</v>
      </c>
      <c r="U7" s="269">
        <v>66.429000000000002</v>
      </c>
      <c r="V7" s="269">
        <v>66.798000000000002</v>
      </c>
      <c r="W7" s="269">
        <v>67.167000000000002</v>
      </c>
      <c r="X7" s="269">
        <v>67.536000000000001</v>
      </c>
      <c r="Y7" s="269">
        <v>67.905000000000001</v>
      </c>
      <c r="Z7" s="269">
        <v>68.274000000000001</v>
      </c>
      <c r="AA7" s="269">
        <v>68.643000000000001</v>
      </c>
      <c r="AB7" s="269">
        <v>69.012</v>
      </c>
      <c r="AC7" s="269">
        <v>69.381</v>
      </c>
      <c r="AD7" s="269">
        <v>69.75</v>
      </c>
      <c r="AE7" s="269">
        <v>70.173000000000002</v>
      </c>
      <c r="AF7" s="269">
        <v>70.596000000000004</v>
      </c>
      <c r="AG7" s="269">
        <v>71.019000000000005</v>
      </c>
      <c r="AH7" s="269">
        <v>71.442000000000007</v>
      </c>
      <c r="AI7" s="269">
        <v>71.865000000000009</v>
      </c>
      <c r="AJ7" s="269">
        <v>72.287999999999997</v>
      </c>
      <c r="AK7" s="269">
        <v>72.710999999999999</v>
      </c>
      <c r="AL7" s="269">
        <v>73.134</v>
      </c>
      <c r="AM7" s="269">
        <v>73.557000000000002</v>
      </c>
      <c r="AN7" s="269">
        <v>73.98</v>
      </c>
    </row>
    <row r="8" spans="1:40" x14ac:dyDescent="0.25">
      <c r="A8" s="166"/>
      <c r="B8" s="26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8" t="s">
        <v>76</v>
      </c>
      <c r="B9" s="8">
        <v>2022</v>
      </c>
      <c r="C9" s="8">
        <f>B9+1</f>
        <v>2023</v>
      </c>
      <c r="D9" s="8">
        <f t="shared" ref="D9" si="1">C9+1</f>
        <v>2024</v>
      </c>
      <c r="E9" s="8">
        <f t="shared" ref="E9" si="2">D9+1</f>
        <v>2025</v>
      </c>
      <c r="F9" s="8">
        <f t="shared" ref="F9" si="3">E9+1</f>
        <v>2026</v>
      </c>
      <c r="G9" s="8">
        <f t="shared" ref="G9" si="4">F9+1</f>
        <v>2027</v>
      </c>
      <c r="H9" s="8">
        <f t="shared" ref="H9" si="5">G9+1</f>
        <v>2028</v>
      </c>
      <c r="I9" s="8">
        <f t="shared" ref="I9" si="6">H9+1</f>
        <v>2029</v>
      </c>
      <c r="J9" s="8">
        <f t="shared" ref="J9" si="7">I9+1</f>
        <v>2030</v>
      </c>
      <c r="K9" s="8">
        <f t="shared" ref="K9" si="8">J9+1</f>
        <v>2031</v>
      </c>
      <c r="L9" s="8">
        <f t="shared" ref="L9" si="9">K9+1</f>
        <v>2032</v>
      </c>
      <c r="M9" s="8">
        <f t="shared" ref="M9" si="10">L9+1</f>
        <v>2033</v>
      </c>
      <c r="N9" s="8">
        <f t="shared" ref="N9" si="11">M9+1</f>
        <v>2034</v>
      </c>
      <c r="O9" s="8">
        <f t="shared" ref="O9" si="12">N9+1</f>
        <v>2035</v>
      </c>
      <c r="P9" s="8">
        <f t="shared" ref="P9" si="13">O9+1</f>
        <v>2036</v>
      </c>
      <c r="Q9" s="8">
        <f t="shared" ref="Q9" si="14">P9+1</f>
        <v>2037</v>
      </c>
      <c r="R9" s="8">
        <f t="shared" ref="R9" si="15">Q9+1</f>
        <v>2038</v>
      </c>
      <c r="S9" s="8">
        <f t="shared" ref="S9" si="16">R9+1</f>
        <v>2039</v>
      </c>
      <c r="T9" s="8">
        <f t="shared" ref="T9" si="17">S9+1</f>
        <v>2040</v>
      </c>
      <c r="U9" s="8">
        <f t="shared" ref="U9" si="18">T9+1</f>
        <v>2041</v>
      </c>
      <c r="V9" s="8">
        <f t="shared" ref="V9" si="19">U9+1</f>
        <v>2042</v>
      </c>
      <c r="W9" s="8">
        <f t="shared" ref="W9" si="20">V9+1</f>
        <v>2043</v>
      </c>
      <c r="X9" s="8">
        <f t="shared" ref="X9" si="21">W9+1</f>
        <v>2044</v>
      </c>
      <c r="Y9" s="8">
        <f t="shared" ref="Y9" si="22">X9+1</f>
        <v>2045</v>
      </c>
      <c r="Z9" s="8">
        <f t="shared" ref="Z9" si="23">Y9+1</f>
        <v>2046</v>
      </c>
      <c r="AA9" s="8">
        <f t="shared" ref="AA9" si="24">Z9+1</f>
        <v>2047</v>
      </c>
      <c r="AB9" s="8">
        <f>AA9+1</f>
        <v>2048</v>
      </c>
      <c r="AC9" s="8">
        <f t="shared" ref="AC9" si="25">AB9+1</f>
        <v>2049</v>
      </c>
      <c r="AD9" s="8">
        <f t="shared" ref="AD9" si="26">AC9+1</f>
        <v>2050</v>
      </c>
      <c r="AE9" s="8">
        <f t="shared" ref="AE9" si="27">AD9+1</f>
        <v>2051</v>
      </c>
      <c r="AF9" s="8">
        <f t="shared" ref="AF9" si="28">AE9+1</f>
        <v>2052</v>
      </c>
      <c r="AG9" s="8">
        <f t="shared" ref="AG9" si="29">AF9+1</f>
        <v>2053</v>
      </c>
      <c r="AH9" s="8">
        <f t="shared" ref="AH9" si="30">AG9+1</f>
        <v>2054</v>
      </c>
      <c r="AI9" s="8">
        <f t="shared" ref="AI9" si="31">AH9+1</f>
        <v>2055</v>
      </c>
      <c r="AJ9" s="8">
        <f t="shared" ref="AJ9" si="32">AI9+1</f>
        <v>2056</v>
      </c>
      <c r="AK9" s="8">
        <f t="shared" ref="AK9" si="33">AJ9+1</f>
        <v>2057</v>
      </c>
      <c r="AL9" s="8">
        <f t="shared" ref="AL9" si="34">AK9+1</f>
        <v>2058</v>
      </c>
      <c r="AM9" s="8">
        <f t="shared" ref="AM9" si="35">AL9+1</f>
        <v>2059</v>
      </c>
      <c r="AN9" s="8">
        <f t="shared" ref="AN9" si="36">AM9+1</f>
        <v>2060</v>
      </c>
    </row>
    <row r="10" spans="1:40" x14ac:dyDescent="0.25">
      <c r="A10" s="8" t="s">
        <v>70</v>
      </c>
      <c r="B10" s="269">
        <v>7.3</v>
      </c>
      <c r="C10" s="269">
        <v>7.4124999999999996</v>
      </c>
      <c r="D10" s="269">
        <v>7.5249999999999995</v>
      </c>
      <c r="E10" s="269">
        <v>7.6374999999999993</v>
      </c>
      <c r="F10" s="269">
        <v>7.75</v>
      </c>
      <c r="G10" s="269">
        <v>7.8624999999999998</v>
      </c>
      <c r="H10" s="269">
        <v>7.9749999999999996</v>
      </c>
      <c r="I10" s="269">
        <v>8.0874999999999986</v>
      </c>
      <c r="J10" s="269">
        <v>8.1999999999999993</v>
      </c>
      <c r="K10" s="269">
        <v>8.32</v>
      </c>
      <c r="L10" s="269">
        <v>8.44</v>
      </c>
      <c r="M10" s="269">
        <v>8.5599999999999987</v>
      </c>
      <c r="N10" s="269">
        <v>8.68</v>
      </c>
      <c r="O10" s="269">
        <v>8.8000000000000007</v>
      </c>
      <c r="P10" s="269">
        <v>8.92</v>
      </c>
      <c r="Q10" s="269">
        <v>9.0399999999999991</v>
      </c>
      <c r="R10" s="269">
        <v>9.16</v>
      </c>
      <c r="S10" s="269">
        <v>9.2800000000000011</v>
      </c>
      <c r="T10" s="269">
        <v>9.4</v>
      </c>
      <c r="U10" s="269">
        <v>9.5400000000000009</v>
      </c>
      <c r="V10" s="269">
        <v>9.68</v>
      </c>
      <c r="W10" s="269">
        <v>9.82</v>
      </c>
      <c r="X10" s="269">
        <v>9.9600000000000009</v>
      </c>
      <c r="Y10" s="269">
        <v>10.100000000000001</v>
      </c>
      <c r="Z10" s="269">
        <v>10.24</v>
      </c>
      <c r="AA10" s="269">
        <v>10.38</v>
      </c>
      <c r="AB10" s="269">
        <v>10.520000000000001</v>
      </c>
      <c r="AC10" s="269">
        <v>10.66</v>
      </c>
      <c r="AD10" s="269">
        <v>10.8</v>
      </c>
      <c r="AE10" s="269">
        <v>10.96</v>
      </c>
      <c r="AF10" s="269">
        <v>11.120000000000001</v>
      </c>
      <c r="AG10" s="269">
        <v>11.280000000000001</v>
      </c>
      <c r="AH10" s="269">
        <v>11.440000000000001</v>
      </c>
      <c r="AI10" s="269">
        <v>11.600000000000001</v>
      </c>
      <c r="AJ10" s="269">
        <v>11.76</v>
      </c>
      <c r="AK10" s="269">
        <v>11.92</v>
      </c>
      <c r="AL10" s="269">
        <v>12.08</v>
      </c>
      <c r="AM10" s="269">
        <v>12.24</v>
      </c>
      <c r="AN10" s="269">
        <v>12.4</v>
      </c>
    </row>
    <row r="11" spans="1:40" x14ac:dyDescent="0.25">
      <c r="A11" s="8" t="s">
        <v>71</v>
      </c>
      <c r="B11" s="269">
        <v>5.6</v>
      </c>
      <c r="C11" s="269">
        <v>5.6875</v>
      </c>
      <c r="D11" s="269">
        <v>5.7749999999999995</v>
      </c>
      <c r="E11" s="269">
        <v>5.8624999999999998</v>
      </c>
      <c r="F11" s="269">
        <v>5.9499999999999993</v>
      </c>
      <c r="G11" s="269">
        <v>6.0374999999999996</v>
      </c>
      <c r="H11" s="269">
        <v>6.125</v>
      </c>
      <c r="I11" s="269">
        <v>6.2124999999999995</v>
      </c>
      <c r="J11" s="269">
        <v>6.3</v>
      </c>
      <c r="K11" s="269">
        <v>6.39</v>
      </c>
      <c r="L11" s="269">
        <v>6.4799999999999995</v>
      </c>
      <c r="M11" s="269">
        <v>6.57</v>
      </c>
      <c r="N11" s="269">
        <v>6.66</v>
      </c>
      <c r="O11" s="269">
        <v>6.75</v>
      </c>
      <c r="P11" s="269">
        <v>6.84</v>
      </c>
      <c r="Q11" s="269">
        <v>6.93</v>
      </c>
      <c r="R11" s="269">
        <v>7.0200000000000005</v>
      </c>
      <c r="S11" s="269">
        <v>7.11</v>
      </c>
      <c r="T11" s="269">
        <v>7.2</v>
      </c>
      <c r="U11" s="269">
        <v>7.3100000000000005</v>
      </c>
      <c r="V11" s="269">
        <v>7.42</v>
      </c>
      <c r="W11" s="269">
        <v>7.53</v>
      </c>
      <c r="X11" s="269">
        <v>7.6400000000000006</v>
      </c>
      <c r="Y11" s="269">
        <v>7.75</v>
      </c>
      <c r="Z11" s="269">
        <v>7.86</v>
      </c>
      <c r="AA11" s="269">
        <v>7.9700000000000006</v>
      </c>
      <c r="AB11" s="269">
        <v>8.08</v>
      </c>
      <c r="AC11" s="269">
        <v>8.1900000000000013</v>
      </c>
      <c r="AD11" s="269">
        <v>8.3000000000000007</v>
      </c>
      <c r="AE11" s="269">
        <v>8.42</v>
      </c>
      <c r="AF11" s="269">
        <v>8.5400000000000009</v>
      </c>
      <c r="AG11" s="269">
        <v>8.66</v>
      </c>
      <c r="AH11" s="269">
        <v>8.7800000000000011</v>
      </c>
      <c r="AI11" s="269">
        <v>8.9</v>
      </c>
      <c r="AJ11" s="269">
        <v>9.02</v>
      </c>
      <c r="AK11" s="269">
        <v>9.14</v>
      </c>
      <c r="AL11" s="269">
        <v>9.26</v>
      </c>
      <c r="AM11" s="269">
        <v>9.3800000000000008</v>
      </c>
      <c r="AN11" s="269">
        <v>9.5</v>
      </c>
    </row>
    <row r="12" spans="1:40" x14ac:dyDescent="0.25">
      <c r="A12" s="8" t="s">
        <v>72</v>
      </c>
      <c r="B12" s="269">
        <v>22.95</v>
      </c>
      <c r="C12" s="269">
        <v>23.28125</v>
      </c>
      <c r="D12" s="269">
        <v>23.612500000000001</v>
      </c>
      <c r="E12" s="269">
        <v>23.943750000000001</v>
      </c>
      <c r="F12" s="269">
        <v>24.274999999999999</v>
      </c>
      <c r="G12" s="269">
        <v>24.606249999999999</v>
      </c>
      <c r="H12" s="269">
        <v>24.9375</v>
      </c>
      <c r="I12" s="269">
        <v>25.268750000000001</v>
      </c>
      <c r="J12" s="269">
        <v>25.6</v>
      </c>
      <c r="K12" s="269">
        <v>26</v>
      </c>
      <c r="L12" s="269">
        <v>26.400000000000002</v>
      </c>
      <c r="M12" s="269">
        <v>26.8</v>
      </c>
      <c r="N12" s="269">
        <v>27.200000000000003</v>
      </c>
      <c r="O12" s="269">
        <v>27.6</v>
      </c>
      <c r="P12" s="269">
        <v>28</v>
      </c>
      <c r="Q12" s="269">
        <v>28.400000000000002</v>
      </c>
      <c r="R12" s="269">
        <v>28.8</v>
      </c>
      <c r="S12" s="269">
        <v>29.200000000000003</v>
      </c>
      <c r="T12" s="269">
        <v>29.6</v>
      </c>
      <c r="U12" s="269">
        <v>30.03</v>
      </c>
      <c r="V12" s="269">
        <v>30.46</v>
      </c>
      <c r="W12" s="269">
        <v>30.89</v>
      </c>
      <c r="X12" s="269">
        <v>31.32</v>
      </c>
      <c r="Y12" s="269">
        <v>31.75</v>
      </c>
      <c r="Z12" s="269">
        <v>32.18</v>
      </c>
      <c r="AA12" s="269">
        <v>32.61</v>
      </c>
      <c r="AB12" s="269">
        <v>33.04</v>
      </c>
      <c r="AC12" s="269">
        <v>33.47</v>
      </c>
      <c r="AD12" s="269">
        <v>33.9</v>
      </c>
      <c r="AE12" s="269">
        <v>34.4</v>
      </c>
      <c r="AF12" s="269">
        <v>34.9</v>
      </c>
      <c r="AG12" s="269">
        <v>35.4</v>
      </c>
      <c r="AH12" s="269">
        <v>35.9</v>
      </c>
      <c r="AI12" s="269">
        <v>36.4</v>
      </c>
      <c r="AJ12" s="269">
        <v>36.9</v>
      </c>
      <c r="AK12" s="269">
        <v>37.4</v>
      </c>
      <c r="AL12" s="269">
        <v>37.9</v>
      </c>
      <c r="AM12" s="269">
        <v>38.4</v>
      </c>
      <c r="AN12" s="269">
        <v>38.9</v>
      </c>
    </row>
    <row r="13" spans="1:40" x14ac:dyDescent="0.25">
      <c r="A13" s="166"/>
    </row>
    <row r="14" spans="1:40" x14ac:dyDescent="0.25">
      <c r="A14" s="8" t="s">
        <v>77</v>
      </c>
      <c r="B14" s="8">
        <v>2022</v>
      </c>
      <c r="C14" s="8">
        <f>B14+1</f>
        <v>2023</v>
      </c>
      <c r="D14" s="8">
        <f t="shared" ref="D14" si="37">C14+1</f>
        <v>2024</v>
      </c>
      <c r="E14" s="8">
        <f t="shared" ref="E14" si="38">D14+1</f>
        <v>2025</v>
      </c>
      <c r="F14" s="8">
        <f t="shared" ref="F14" si="39">E14+1</f>
        <v>2026</v>
      </c>
      <c r="G14" s="8">
        <f t="shared" ref="G14" si="40">F14+1</f>
        <v>2027</v>
      </c>
      <c r="H14" s="8">
        <f t="shared" ref="H14" si="41">G14+1</f>
        <v>2028</v>
      </c>
      <c r="I14" s="8">
        <f t="shared" ref="I14" si="42">H14+1</f>
        <v>2029</v>
      </c>
      <c r="J14" s="8">
        <f t="shared" ref="J14" si="43">I14+1</f>
        <v>2030</v>
      </c>
      <c r="K14" s="8">
        <f t="shared" ref="K14" si="44">J14+1</f>
        <v>2031</v>
      </c>
      <c r="L14" s="8">
        <f t="shared" ref="L14" si="45">K14+1</f>
        <v>2032</v>
      </c>
      <c r="M14" s="8">
        <f t="shared" ref="M14" si="46">L14+1</f>
        <v>2033</v>
      </c>
      <c r="N14" s="8">
        <f t="shared" ref="N14" si="47">M14+1</f>
        <v>2034</v>
      </c>
      <c r="O14" s="8">
        <f t="shared" ref="O14" si="48">N14+1</f>
        <v>2035</v>
      </c>
      <c r="P14" s="8">
        <f t="shared" ref="P14" si="49">O14+1</f>
        <v>2036</v>
      </c>
      <c r="Q14" s="8">
        <f t="shared" ref="Q14" si="50">P14+1</f>
        <v>2037</v>
      </c>
      <c r="R14" s="8">
        <f t="shared" ref="R14" si="51">Q14+1</f>
        <v>2038</v>
      </c>
      <c r="S14" s="8">
        <f t="shared" ref="S14" si="52">R14+1</f>
        <v>2039</v>
      </c>
      <c r="T14" s="8">
        <f t="shared" ref="T14" si="53">S14+1</f>
        <v>2040</v>
      </c>
      <c r="U14" s="8">
        <f t="shared" ref="U14" si="54">T14+1</f>
        <v>2041</v>
      </c>
      <c r="V14" s="8">
        <f t="shared" ref="V14" si="55">U14+1</f>
        <v>2042</v>
      </c>
      <c r="W14" s="8">
        <f t="shared" ref="W14" si="56">V14+1</f>
        <v>2043</v>
      </c>
      <c r="X14" s="8">
        <f t="shared" ref="X14" si="57">W14+1</f>
        <v>2044</v>
      </c>
      <c r="Y14" s="8">
        <f t="shared" ref="Y14" si="58">X14+1</f>
        <v>2045</v>
      </c>
      <c r="Z14" s="8">
        <f t="shared" ref="Z14" si="59">Y14+1</f>
        <v>2046</v>
      </c>
      <c r="AA14" s="8">
        <f t="shared" ref="AA14" si="60">Z14+1</f>
        <v>2047</v>
      </c>
      <c r="AB14" s="8">
        <f>AA14+1</f>
        <v>2048</v>
      </c>
      <c r="AC14" s="8">
        <f t="shared" ref="AC14" si="61">AB14+1</f>
        <v>2049</v>
      </c>
      <c r="AD14" s="8">
        <f t="shared" ref="AD14" si="62">AC14+1</f>
        <v>2050</v>
      </c>
      <c r="AE14" s="8">
        <f t="shared" ref="AE14" si="63">AD14+1</f>
        <v>2051</v>
      </c>
      <c r="AF14" s="8">
        <f t="shared" ref="AF14" si="64">AE14+1</f>
        <v>2052</v>
      </c>
      <c r="AG14" s="8">
        <f t="shared" ref="AG14" si="65">AF14+1</f>
        <v>2053</v>
      </c>
      <c r="AH14" s="8">
        <f t="shared" ref="AH14" si="66">AG14+1</f>
        <v>2054</v>
      </c>
      <c r="AI14" s="8">
        <f t="shared" ref="AI14" si="67">AH14+1</f>
        <v>2055</v>
      </c>
      <c r="AJ14" s="8">
        <f t="shared" ref="AJ14" si="68">AI14+1</f>
        <v>2056</v>
      </c>
      <c r="AK14" s="8">
        <f t="shared" ref="AK14" si="69">AJ14+1</f>
        <v>2057</v>
      </c>
      <c r="AL14" s="8">
        <f t="shared" ref="AL14" si="70">AK14+1</f>
        <v>2058</v>
      </c>
      <c r="AM14" s="8">
        <f t="shared" ref="AM14" si="71">AL14+1</f>
        <v>2059</v>
      </c>
      <c r="AN14" s="8">
        <f t="shared" ref="AN14" si="72">AM14+1</f>
        <v>2060</v>
      </c>
    </row>
    <row r="15" spans="1:40" x14ac:dyDescent="0.25">
      <c r="A15" s="8" t="s">
        <v>70</v>
      </c>
      <c r="B15" s="269"/>
      <c r="C15" s="269">
        <v>14.230068493150597</v>
      </c>
      <c r="D15" s="269">
        <v>14.429289452054705</v>
      </c>
      <c r="E15" s="269">
        <v>14.631299504383472</v>
      </c>
      <c r="F15" s="269">
        <v>14.83613769744484</v>
      </c>
      <c r="G15" s="269">
        <v>15.043843625209069</v>
      </c>
      <c r="H15" s="269">
        <v>15.254457435961996</v>
      </c>
      <c r="I15" s="269">
        <v>15.468019840065464</v>
      </c>
      <c r="J15" s="269">
        <v>15.684572117826381</v>
      </c>
      <c r="K15" s="269">
        <v>15.90415612747595</v>
      </c>
      <c r="L15" s="269">
        <v>16.126814313260613</v>
      </c>
      <c r="M15" s="269">
        <v>16.352589713646264</v>
      </c>
      <c r="N15" s="269">
        <v>16.581525969637312</v>
      </c>
      <c r="O15" s="269">
        <v>16.813667333212234</v>
      </c>
      <c r="P15" s="269">
        <v>17.049058675877205</v>
      </c>
      <c r="Q15" s="269">
        <v>17.287745497339486</v>
      </c>
      <c r="R15" s="269">
        <v>17.529773934302238</v>
      </c>
      <c r="S15" s="269">
        <v>17.775190769382469</v>
      </c>
      <c r="T15" s="269">
        <v>18.024043440153825</v>
      </c>
      <c r="U15" s="269">
        <v>18.276380048315978</v>
      </c>
      <c r="V15" s="269">
        <v>18.532249368992403</v>
      </c>
      <c r="W15" s="269">
        <v>18.791700860158297</v>
      </c>
      <c r="X15" s="269">
        <v>19.054784672200512</v>
      </c>
      <c r="Y15" s="269">
        <v>19.32155165761132</v>
      </c>
      <c r="Z15" s="269">
        <v>19.592053380817877</v>
      </c>
      <c r="AA15" s="269">
        <v>19.866342128149327</v>
      </c>
      <c r="AB15" s="269">
        <v>20.144470917943419</v>
      </c>
      <c r="AC15" s="269">
        <v>20.426493510794629</v>
      </c>
      <c r="AD15" s="269">
        <v>20.712464419945753</v>
      </c>
      <c r="AE15" s="269">
        <v>21.002438921824993</v>
      </c>
      <c r="AF15" s="269">
        <v>21.296473066730542</v>
      </c>
      <c r="AG15" s="269">
        <v>21.594623689664768</v>
      </c>
      <c r="AH15" s="269">
        <v>21.896948421320076</v>
      </c>
      <c r="AI15" s="269">
        <v>22.203505699218557</v>
      </c>
      <c r="AJ15" s="269">
        <v>22.514354779007618</v>
      </c>
      <c r="AK15" s="269">
        <v>22.829555745913726</v>
      </c>
      <c r="AL15" s="269">
        <v>23.14916952635652</v>
      </c>
      <c r="AM15" s="269">
        <v>23.47325789972551</v>
      </c>
      <c r="AN15" s="269">
        <v>23.801883510321669</v>
      </c>
    </row>
    <row r="16" spans="1:40" x14ac:dyDescent="0.25">
      <c r="A16" s="8" t="s">
        <v>71</v>
      </c>
      <c r="B16" s="269"/>
      <c r="C16" s="269">
        <v>14.230068493150597</v>
      </c>
      <c r="D16" s="269">
        <v>14.429289452054705</v>
      </c>
      <c r="E16" s="269">
        <v>14.631299504383472</v>
      </c>
      <c r="F16" s="269">
        <v>14.83613769744484</v>
      </c>
      <c r="G16" s="269">
        <v>15.043843625209069</v>
      </c>
      <c r="H16" s="269">
        <v>15.254457435961996</v>
      </c>
      <c r="I16" s="269">
        <v>15.468019840065464</v>
      </c>
      <c r="J16" s="269">
        <v>15.684572117826381</v>
      </c>
      <c r="K16" s="269">
        <v>15.90415612747595</v>
      </c>
      <c r="L16" s="269">
        <v>16.126814313260613</v>
      </c>
      <c r="M16" s="269">
        <v>16.352589713646264</v>
      </c>
      <c r="N16" s="269">
        <v>16.581525969637312</v>
      </c>
      <c r="O16" s="269">
        <v>16.813667333212234</v>
      </c>
      <c r="P16" s="269">
        <v>17.049058675877205</v>
      </c>
      <c r="Q16" s="269">
        <v>17.287745497339486</v>
      </c>
      <c r="R16" s="269">
        <v>17.529773934302238</v>
      </c>
      <c r="S16" s="269">
        <v>17.775190769382469</v>
      </c>
      <c r="T16" s="269">
        <v>18.024043440153825</v>
      </c>
      <c r="U16" s="269">
        <v>18.276380048315978</v>
      </c>
      <c r="V16" s="269">
        <v>18.532249368992403</v>
      </c>
      <c r="W16" s="269">
        <v>18.791700860158297</v>
      </c>
      <c r="X16" s="269">
        <v>19.054784672200512</v>
      </c>
      <c r="Y16" s="269">
        <v>19.32155165761132</v>
      </c>
      <c r="Z16" s="269">
        <v>19.592053380817877</v>
      </c>
      <c r="AA16" s="269">
        <v>19.866342128149327</v>
      </c>
      <c r="AB16" s="269">
        <v>20.144470917943419</v>
      </c>
      <c r="AC16" s="269">
        <v>20.426493510794629</v>
      </c>
      <c r="AD16" s="269">
        <v>20.712464419945753</v>
      </c>
      <c r="AE16" s="269">
        <v>21.002438921824993</v>
      </c>
      <c r="AF16" s="269">
        <v>21.296473066730542</v>
      </c>
      <c r="AG16" s="269">
        <v>21.594623689664768</v>
      </c>
      <c r="AH16" s="269">
        <v>21.896948421320076</v>
      </c>
      <c r="AI16" s="269">
        <v>22.203505699218557</v>
      </c>
      <c r="AJ16" s="269">
        <v>22.514354779007618</v>
      </c>
      <c r="AK16" s="269">
        <v>22.829555745913726</v>
      </c>
      <c r="AL16" s="269">
        <v>23.14916952635652</v>
      </c>
      <c r="AM16" s="269">
        <v>23.47325789972551</v>
      </c>
      <c r="AN16" s="269">
        <v>23.801883510321669</v>
      </c>
    </row>
    <row r="17" spans="1:40" x14ac:dyDescent="0.25">
      <c r="A17" s="8" t="s">
        <v>72</v>
      </c>
      <c r="B17" s="269"/>
      <c r="C17" s="269">
        <v>14.230068493150597</v>
      </c>
      <c r="D17" s="269">
        <v>14.429289452054705</v>
      </c>
      <c r="E17" s="269">
        <v>14.631299504383472</v>
      </c>
      <c r="F17" s="269">
        <v>14.83613769744484</v>
      </c>
      <c r="G17" s="269">
        <v>15.043843625209069</v>
      </c>
      <c r="H17" s="269">
        <v>15.254457435961996</v>
      </c>
      <c r="I17" s="269">
        <v>15.468019840065464</v>
      </c>
      <c r="J17" s="269">
        <v>15.684572117826381</v>
      </c>
      <c r="K17" s="269">
        <v>15.90415612747595</v>
      </c>
      <c r="L17" s="269">
        <v>16.126814313260613</v>
      </c>
      <c r="M17" s="269">
        <v>16.352589713646264</v>
      </c>
      <c r="N17" s="269">
        <v>16.581525969637312</v>
      </c>
      <c r="O17" s="269">
        <v>16.813667333212234</v>
      </c>
      <c r="P17" s="269">
        <v>17.049058675877205</v>
      </c>
      <c r="Q17" s="269">
        <v>17.287745497339486</v>
      </c>
      <c r="R17" s="269">
        <v>17.529773934302238</v>
      </c>
      <c r="S17" s="269">
        <v>17.775190769382469</v>
      </c>
      <c r="T17" s="269">
        <v>18.024043440153825</v>
      </c>
      <c r="U17" s="269">
        <v>18.276380048315978</v>
      </c>
      <c r="V17" s="269">
        <v>18.532249368992403</v>
      </c>
      <c r="W17" s="269">
        <v>18.791700860158297</v>
      </c>
      <c r="X17" s="269">
        <v>19.054784672200512</v>
      </c>
      <c r="Y17" s="269">
        <v>19.32155165761132</v>
      </c>
      <c r="Z17" s="269">
        <v>19.592053380817877</v>
      </c>
      <c r="AA17" s="269">
        <v>19.866342128149327</v>
      </c>
      <c r="AB17" s="269">
        <v>20.144470917943419</v>
      </c>
      <c r="AC17" s="269">
        <v>20.426493510794629</v>
      </c>
      <c r="AD17" s="269">
        <v>20.712464419945753</v>
      </c>
      <c r="AE17" s="269">
        <v>21.002438921824993</v>
      </c>
      <c r="AF17" s="269">
        <v>21.296473066730542</v>
      </c>
      <c r="AG17" s="269">
        <v>21.594623689664768</v>
      </c>
      <c r="AH17" s="269">
        <v>21.896948421320076</v>
      </c>
      <c r="AI17" s="269">
        <v>22.203505699218557</v>
      </c>
      <c r="AJ17" s="269">
        <v>22.514354779007618</v>
      </c>
      <c r="AK17" s="269">
        <v>22.829555745913726</v>
      </c>
      <c r="AL17" s="269">
        <v>23.14916952635652</v>
      </c>
      <c r="AM17" s="269">
        <v>23.47325789972551</v>
      </c>
      <c r="AN17" s="269">
        <v>23.801883510321669</v>
      </c>
    </row>
    <row r="19" spans="1:40" x14ac:dyDescent="0.25">
      <c r="A19" t="s">
        <v>247</v>
      </c>
    </row>
    <row r="20" spans="1:40" x14ac:dyDescent="0.25">
      <c r="A20" s="8" t="s">
        <v>40</v>
      </c>
      <c r="B20" s="8">
        <v>2022</v>
      </c>
      <c r="C20" s="8">
        <f t="shared" ref="C20:AN20" si="73">B20+1</f>
        <v>2023</v>
      </c>
      <c r="D20" s="8">
        <f t="shared" si="73"/>
        <v>2024</v>
      </c>
      <c r="E20" s="8">
        <f t="shared" si="73"/>
        <v>2025</v>
      </c>
      <c r="F20" s="8">
        <f t="shared" si="73"/>
        <v>2026</v>
      </c>
      <c r="G20" s="8">
        <f t="shared" si="73"/>
        <v>2027</v>
      </c>
      <c r="H20" s="8">
        <f t="shared" si="73"/>
        <v>2028</v>
      </c>
      <c r="I20" s="8">
        <f t="shared" si="73"/>
        <v>2029</v>
      </c>
      <c r="J20" s="8">
        <f t="shared" si="73"/>
        <v>2030</v>
      </c>
      <c r="K20" s="8">
        <f t="shared" si="73"/>
        <v>2031</v>
      </c>
      <c r="L20" s="8">
        <f t="shared" si="73"/>
        <v>2032</v>
      </c>
      <c r="M20" s="8">
        <f t="shared" si="73"/>
        <v>2033</v>
      </c>
      <c r="N20" s="8">
        <f t="shared" si="73"/>
        <v>2034</v>
      </c>
      <c r="O20" s="8">
        <f t="shared" si="73"/>
        <v>2035</v>
      </c>
      <c r="P20" s="8">
        <f t="shared" si="73"/>
        <v>2036</v>
      </c>
      <c r="Q20" s="8">
        <f t="shared" si="73"/>
        <v>2037</v>
      </c>
      <c r="R20" s="8">
        <f t="shared" si="73"/>
        <v>2038</v>
      </c>
      <c r="S20" s="8">
        <f t="shared" si="73"/>
        <v>2039</v>
      </c>
      <c r="T20" s="8">
        <f t="shared" si="73"/>
        <v>2040</v>
      </c>
      <c r="U20" s="8">
        <f t="shared" si="73"/>
        <v>2041</v>
      </c>
      <c r="V20" s="8">
        <f t="shared" si="73"/>
        <v>2042</v>
      </c>
      <c r="W20" s="8">
        <f t="shared" si="73"/>
        <v>2043</v>
      </c>
      <c r="X20" s="8">
        <f t="shared" si="73"/>
        <v>2044</v>
      </c>
      <c r="Y20" s="8">
        <f t="shared" si="73"/>
        <v>2045</v>
      </c>
      <c r="Z20" s="8">
        <f t="shared" si="73"/>
        <v>2046</v>
      </c>
      <c r="AA20" s="8">
        <f t="shared" si="73"/>
        <v>2047</v>
      </c>
      <c r="AB20" s="8">
        <f t="shared" si="73"/>
        <v>2048</v>
      </c>
      <c r="AC20" s="8">
        <f t="shared" si="73"/>
        <v>2049</v>
      </c>
      <c r="AD20" s="8">
        <f t="shared" si="73"/>
        <v>2050</v>
      </c>
      <c r="AE20" s="8">
        <f t="shared" si="73"/>
        <v>2051</v>
      </c>
      <c r="AF20" s="8">
        <f t="shared" si="73"/>
        <v>2052</v>
      </c>
      <c r="AG20" s="8">
        <f t="shared" si="73"/>
        <v>2053</v>
      </c>
      <c r="AH20" s="8">
        <f t="shared" si="73"/>
        <v>2054</v>
      </c>
      <c r="AI20" s="8">
        <f t="shared" si="73"/>
        <v>2055</v>
      </c>
      <c r="AJ20" s="8">
        <f t="shared" si="73"/>
        <v>2056</v>
      </c>
      <c r="AK20" s="8">
        <f t="shared" si="73"/>
        <v>2057</v>
      </c>
      <c r="AL20" s="8">
        <f t="shared" si="73"/>
        <v>2058</v>
      </c>
      <c r="AM20" s="8">
        <f t="shared" si="73"/>
        <v>2059</v>
      </c>
      <c r="AN20" s="8">
        <f t="shared" si="73"/>
        <v>2060</v>
      </c>
    </row>
    <row r="21" spans="1:40" x14ac:dyDescent="0.25">
      <c r="A21" s="8" t="s">
        <v>228</v>
      </c>
      <c r="B21" s="270">
        <v>0.11700000000000001</v>
      </c>
      <c r="C21" s="270">
        <v>0.11675000000000001</v>
      </c>
      <c r="D21" s="270">
        <v>0.11650000000000001</v>
      </c>
      <c r="E21" s="270">
        <v>0.11625000000000001</v>
      </c>
      <c r="F21" s="270">
        <v>0.11599999999999999</v>
      </c>
      <c r="G21" s="270">
        <v>0.11574999999999999</v>
      </c>
      <c r="H21" s="270">
        <v>0.11549999999999999</v>
      </c>
      <c r="I21" s="270">
        <v>0.11524999999999999</v>
      </c>
      <c r="J21" s="270">
        <v>0.11499999999999999</v>
      </c>
      <c r="K21" s="270">
        <v>0.11219999999999999</v>
      </c>
      <c r="L21" s="270">
        <v>0.1094</v>
      </c>
      <c r="M21" s="270">
        <v>0.10659999999999999</v>
      </c>
      <c r="N21" s="270">
        <v>0.10379999999999999</v>
      </c>
      <c r="O21" s="270">
        <v>0.10099999999999999</v>
      </c>
      <c r="P21" s="270">
        <v>9.8199999999999996E-2</v>
      </c>
      <c r="Q21" s="270">
        <v>9.5399999999999999E-2</v>
      </c>
      <c r="R21" s="270">
        <v>9.2599999999999988E-2</v>
      </c>
      <c r="S21" s="270">
        <v>8.9799999999999991E-2</v>
      </c>
      <c r="T21" s="270">
        <v>8.6999999999999994E-2</v>
      </c>
      <c r="U21" s="270">
        <v>8.6099999999999996E-2</v>
      </c>
      <c r="V21" s="270">
        <v>8.5199999999999998E-2</v>
      </c>
      <c r="W21" s="270">
        <v>8.43E-2</v>
      </c>
      <c r="X21" s="270">
        <v>8.3400000000000002E-2</v>
      </c>
      <c r="Y21" s="270">
        <v>8.249999999999999E-2</v>
      </c>
      <c r="Z21" s="270">
        <v>8.1599999999999992E-2</v>
      </c>
      <c r="AA21" s="270">
        <v>8.0699999999999994E-2</v>
      </c>
      <c r="AB21" s="270">
        <v>7.9799999999999996E-2</v>
      </c>
      <c r="AC21" s="270">
        <v>7.8899999999999998E-2</v>
      </c>
      <c r="AD21" s="270">
        <v>7.8E-2</v>
      </c>
      <c r="AE21" s="270">
        <v>7.7800000000000008E-2</v>
      </c>
      <c r="AF21" s="270">
        <v>7.7600000000000002E-2</v>
      </c>
      <c r="AG21" s="270">
        <v>7.7399999999999997E-2</v>
      </c>
      <c r="AH21" s="270">
        <v>7.7200000000000005E-2</v>
      </c>
      <c r="AI21" s="270">
        <v>7.7000000000000013E-2</v>
      </c>
      <c r="AJ21" s="270">
        <v>7.6800000000000007E-2</v>
      </c>
      <c r="AK21" s="270">
        <v>7.6600000000000001E-2</v>
      </c>
      <c r="AL21" s="270">
        <v>7.640000000000001E-2</v>
      </c>
      <c r="AM21" s="270">
        <v>7.6200000000000018E-2</v>
      </c>
      <c r="AN21" s="270">
        <v>7.6000000000000012E-2</v>
      </c>
    </row>
    <row r="22" spans="1:40" x14ac:dyDescent="0.25">
      <c r="A22" s="8" t="s">
        <v>229</v>
      </c>
      <c r="B22" s="270">
        <v>7.4999999999999997E-2</v>
      </c>
      <c r="C22" s="270">
        <v>7.2874999999999995E-2</v>
      </c>
      <c r="D22" s="270">
        <v>7.0749999999999993E-2</v>
      </c>
      <c r="E22" s="270">
        <v>6.8625000000000005E-2</v>
      </c>
      <c r="F22" s="270">
        <v>6.6500000000000004E-2</v>
      </c>
      <c r="G22" s="270">
        <v>6.4375000000000002E-2</v>
      </c>
      <c r="H22" s="270">
        <v>6.225E-2</v>
      </c>
      <c r="I22" s="270">
        <v>6.0124999999999998E-2</v>
      </c>
      <c r="J22" s="270">
        <v>5.8000000000000003E-2</v>
      </c>
      <c r="K22" s="270">
        <v>5.5600000000000004E-2</v>
      </c>
      <c r="L22" s="270">
        <v>5.3200000000000004E-2</v>
      </c>
      <c r="M22" s="270">
        <v>5.0800000000000005E-2</v>
      </c>
      <c r="N22" s="270">
        <v>4.8399999999999999E-2</v>
      </c>
      <c r="O22" s="270">
        <v>4.5999999999999999E-2</v>
      </c>
      <c r="P22" s="270">
        <v>4.36E-2</v>
      </c>
      <c r="Q22" s="270">
        <v>4.1200000000000001E-2</v>
      </c>
      <c r="R22" s="270">
        <v>3.8800000000000001E-2</v>
      </c>
      <c r="S22" s="270">
        <v>3.6400000000000002E-2</v>
      </c>
      <c r="T22" s="270">
        <v>3.4000000000000002E-2</v>
      </c>
      <c r="U22" s="270">
        <v>3.32E-2</v>
      </c>
      <c r="V22" s="270">
        <v>3.2399999999999998E-2</v>
      </c>
      <c r="W22" s="270">
        <v>3.1600000000000003E-2</v>
      </c>
      <c r="X22" s="270">
        <v>3.0800000000000001E-2</v>
      </c>
      <c r="Y22" s="270">
        <v>0.03</v>
      </c>
      <c r="Z22" s="270">
        <v>2.92E-2</v>
      </c>
      <c r="AA22" s="270">
        <v>2.8400000000000002E-2</v>
      </c>
      <c r="AB22" s="270">
        <v>2.76E-2</v>
      </c>
      <c r="AC22" s="270">
        <v>2.6799999999999997E-2</v>
      </c>
      <c r="AD22" s="270">
        <v>2.5999999999999999E-2</v>
      </c>
      <c r="AE22" s="270">
        <v>2.58E-2</v>
      </c>
      <c r="AF22" s="270">
        <v>2.5599999999999998E-2</v>
      </c>
      <c r="AG22" s="270">
        <v>2.5399999999999999E-2</v>
      </c>
      <c r="AH22" s="270">
        <v>2.52E-2</v>
      </c>
      <c r="AI22" s="270">
        <v>2.5000000000000001E-2</v>
      </c>
      <c r="AJ22" s="270">
        <v>2.4799999999999999E-2</v>
      </c>
      <c r="AK22" s="270">
        <v>2.46E-2</v>
      </c>
      <c r="AL22" s="270">
        <v>2.4400000000000002E-2</v>
      </c>
      <c r="AM22" s="270">
        <v>2.4199999999999999E-2</v>
      </c>
      <c r="AN22" s="270">
        <v>2.4E-2</v>
      </c>
    </row>
    <row r="23" spans="1:40" x14ac:dyDescent="0.25">
      <c r="A23" s="8" t="s">
        <v>230</v>
      </c>
      <c r="B23" s="270">
        <v>0.192</v>
      </c>
      <c r="C23" s="270">
        <v>0.18962499999999999</v>
      </c>
      <c r="D23" s="270">
        <v>0.18725</v>
      </c>
      <c r="E23" s="270">
        <v>0.18487500000000001</v>
      </c>
      <c r="F23" s="270">
        <v>0.1825</v>
      </c>
      <c r="G23" s="270">
        <v>0.18012499999999998</v>
      </c>
      <c r="H23" s="270">
        <v>0.17774999999999999</v>
      </c>
      <c r="I23" s="270">
        <v>0.175375</v>
      </c>
      <c r="J23" s="270">
        <v>0.17299999999999999</v>
      </c>
      <c r="K23" s="270">
        <v>0.16779999999999998</v>
      </c>
      <c r="L23" s="270">
        <v>0.16259999999999999</v>
      </c>
      <c r="M23" s="270">
        <v>0.15739999999999998</v>
      </c>
      <c r="N23" s="270">
        <v>0.1522</v>
      </c>
      <c r="O23" s="270">
        <v>0.14699999999999999</v>
      </c>
      <c r="P23" s="270">
        <v>0.14179999999999998</v>
      </c>
      <c r="Q23" s="270">
        <v>0.1366</v>
      </c>
      <c r="R23" s="270">
        <v>0.13139999999999999</v>
      </c>
      <c r="S23" s="270">
        <v>0.12619999999999998</v>
      </c>
      <c r="T23" s="270">
        <v>0.121</v>
      </c>
      <c r="U23" s="270">
        <v>0.11929999999999999</v>
      </c>
      <c r="V23" s="270">
        <v>0.1176</v>
      </c>
      <c r="W23" s="270">
        <v>0.1159</v>
      </c>
      <c r="X23" s="270">
        <v>0.1142</v>
      </c>
      <c r="Y23" s="270">
        <v>0.11249999999999999</v>
      </c>
      <c r="Z23" s="270">
        <v>0.1108</v>
      </c>
      <c r="AA23" s="270">
        <v>0.1091</v>
      </c>
      <c r="AB23" s="270">
        <v>0.1074</v>
      </c>
      <c r="AC23" s="270">
        <v>0.10569999999999999</v>
      </c>
      <c r="AD23" s="270">
        <v>0.104</v>
      </c>
      <c r="AE23" s="270">
        <v>0.1036</v>
      </c>
      <c r="AF23" s="270">
        <v>0.1032</v>
      </c>
      <c r="AG23" s="270">
        <v>0.1028</v>
      </c>
      <c r="AH23" s="270">
        <v>0.1024</v>
      </c>
      <c r="AI23" s="270">
        <v>0.10200000000000001</v>
      </c>
      <c r="AJ23" s="270">
        <v>0.1016</v>
      </c>
      <c r="AK23" s="270">
        <v>0.1012</v>
      </c>
      <c r="AL23" s="270">
        <v>0.1008</v>
      </c>
      <c r="AM23" s="270">
        <v>0.1004</v>
      </c>
      <c r="AN23" s="270">
        <v>0.1</v>
      </c>
    </row>
    <row r="24" spans="1:40" x14ac:dyDescent="0.25">
      <c r="A24" s="8" t="s">
        <v>231</v>
      </c>
      <c r="B24" s="270">
        <v>0.15000000000000002</v>
      </c>
      <c r="C24" s="270">
        <v>0.15087500000000001</v>
      </c>
      <c r="D24" s="270">
        <v>0.15175000000000002</v>
      </c>
      <c r="E24" s="270">
        <v>0.15262500000000001</v>
      </c>
      <c r="F24" s="270">
        <v>0.15350000000000003</v>
      </c>
      <c r="G24" s="270">
        <v>0.15437500000000001</v>
      </c>
      <c r="H24" s="270">
        <v>0.15525</v>
      </c>
      <c r="I24" s="270">
        <v>0.15612500000000001</v>
      </c>
      <c r="J24" s="270">
        <v>0.157</v>
      </c>
      <c r="K24" s="270">
        <v>0.15229999999999999</v>
      </c>
      <c r="L24" s="270">
        <v>0.14760000000000001</v>
      </c>
      <c r="M24" s="270">
        <v>0.1429</v>
      </c>
      <c r="N24" s="270">
        <v>0.13819999999999999</v>
      </c>
      <c r="O24" s="270">
        <v>0.13350000000000001</v>
      </c>
      <c r="P24" s="270">
        <v>0.1288</v>
      </c>
      <c r="Q24" s="270">
        <v>0.12409999999999999</v>
      </c>
      <c r="R24" s="270">
        <v>0.11939999999999998</v>
      </c>
      <c r="S24" s="270">
        <v>0.1147</v>
      </c>
      <c r="T24" s="270">
        <v>0.10999999999999999</v>
      </c>
      <c r="U24" s="270">
        <v>0.10749999999999998</v>
      </c>
      <c r="V24" s="270">
        <v>0.10499999999999998</v>
      </c>
      <c r="W24" s="270">
        <v>0.10249999999999999</v>
      </c>
      <c r="X24" s="270">
        <v>9.9999999999999992E-2</v>
      </c>
      <c r="Y24" s="270">
        <v>9.7499999999999989E-2</v>
      </c>
      <c r="Z24" s="270">
        <v>9.4999999999999987E-2</v>
      </c>
      <c r="AA24" s="270">
        <v>9.2499999999999999E-2</v>
      </c>
      <c r="AB24" s="270">
        <v>0.09</v>
      </c>
      <c r="AC24" s="270">
        <v>8.7499999999999994E-2</v>
      </c>
      <c r="AD24" s="270">
        <v>8.4999999999999992E-2</v>
      </c>
      <c r="AE24" s="270">
        <v>8.4399999999999989E-2</v>
      </c>
      <c r="AF24" s="270">
        <v>8.3799999999999999E-2</v>
      </c>
      <c r="AG24" s="270">
        <v>8.3199999999999996E-2</v>
      </c>
      <c r="AH24" s="270">
        <v>8.2599999999999993E-2</v>
      </c>
      <c r="AI24" s="270">
        <v>8.199999999999999E-2</v>
      </c>
      <c r="AJ24" s="270">
        <v>8.14E-2</v>
      </c>
      <c r="AK24" s="270">
        <v>8.0799999999999997E-2</v>
      </c>
      <c r="AL24" s="270">
        <v>8.0199999999999994E-2</v>
      </c>
      <c r="AM24" s="270">
        <v>7.9600000000000004E-2</v>
      </c>
      <c r="AN24" s="270">
        <v>7.9000000000000001E-2</v>
      </c>
    </row>
    <row r="25" spans="1:40" x14ac:dyDescent="0.25">
      <c r="A25" s="8" t="s">
        <v>232</v>
      </c>
      <c r="B25" s="270">
        <v>7.1999999999999995E-2</v>
      </c>
      <c r="C25" s="270">
        <v>7.0499999999999993E-2</v>
      </c>
      <c r="D25" s="270">
        <v>6.8999999999999992E-2</v>
      </c>
      <c r="E25" s="270">
        <v>6.7499999999999991E-2</v>
      </c>
      <c r="F25" s="270">
        <v>6.6000000000000003E-2</v>
      </c>
      <c r="G25" s="270">
        <v>6.4500000000000002E-2</v>
      </c>
      <c r="H25" s="270">
        <v>6.3E-2</v>
      </c>
      <c r="I25" s="270">
        <v>6.1499999999999999E-2</v>
      </c>
      <c r="J25" s="270">
        <v>0.06</v>
      </c>
      <c r="K25" s="270">
        <v>5.7299999999999997E-2</v>
      </c>
      <c r="L25" s="270">
        <v>5.4599999999999996E-2</v>
      </c>
      <c r="M25" s="270">
        <v>5.1900000000000002E-2</v>
      </c>
      <c r="N25" s="270">
        <v>4.9200000000000001E-2</v>
      </c>
      <c r="O25" s="270">
        <v>4.65E-2</v>
      </c>
      <c r="P25" s="270">
        <v>4.3800000000000006E-2</v>
      </c>
      <c r="Q25" s="270">
        <v>4.1099999999999998E-2</v>
      </c>
      <c r="R25" s="270">
        <v>3.8400000000000004E-2</v>
      </c>
      <c r="S25" s="270">
        <v>3.5699999999999996E-2</v>
      </c>
      <c r="T25" s="270">
        <v>3.3000000000000002E-2</v>
      </c>
      <c r="U25" s="270">
        <v>3.1800000000000002E-2</v>
      </c>
      <c r="V25" s="270">
        <v>3.0600000000000002E-2</v>
      </c>
      <c r="W25" s="270">
        <v>2.9400000000000003E-2</v>
      </c>
      <c r="X25" s="270">
        <v>2.8200000000000003E-2</v>
      </c>
      <c r="Y25" s="270">
        <v>2.7000000000000003E-2</v>
      </c>
      <c r="Z25" s="270">
        <v>2.5800000000000003E-2</v>
      </c>
      <c r="AA25" s="270">
        <v>2.4600000000000004E-2</v>
      </c>
      <c r="AB25" s="270">
        <v>2.3400000000000001E-2</v>
      </c>
      <c r="AC25" s="270">
        <v>2.2200000000000001E-2</v>
      </c>
      <c r="AD25" s="270">
        <v>2.1000000000000001E-2</v>
      </c>
      <c r="AE25" s="270">
        <v>2.06E-2</v>
      </c>
      <c r="AF25" s="270">
        <v>2.0200000000000003E-2</v>
      </c>
      <c r="AG25" s="270">
        <v>1.9800000000000002E-2</v>
      </c>
      <c r="AH25" s="270">
        <v>1.9400000000000001E-2</v>
      </c>
      <c r="AI25" s="270">
        <v>1.9000000000000003E-2</v>
      </c>
      <c r="AJ25" s="270">
        <v>1.8600000000000002E-2</v>
      </c>
      <c r="AK25" s="270">
        <v>1.8200000000000001E-2</v>
      </c>
      <c r="AL25" s="270">
        <v>1.78E-2</v>
      </c>
      <c r="AM25" s="270">
        <v>1.7400000000000002E-2</v>
      </c>
      <c r="AN25" s="270">
        <v>1.7000000000000001E-2</v>
      </c>
    </row>
    <row r="26" spans="1:40" x14ac:dyDescent="0.25">
      <c r="A26" s="8" t="s">
        <v>233</v>
      </c>
      <c r="B26" s="270">
        <v>0.222</v>
      </c>
      <c r="C26" s="270">
        <v>0.22137499999999999</v>
      </c>
      <c r="D26" s="270">
        <v>0.22075</v>
      </c>
      <c r="E26" s="270">
        <v>0.22012500000000002</v>
      </c>
      <c r="F26" s="270">
        <v>0.2195</v>
      </c>
      <c r="G26" s="270">
        <v>0.21887499999999999</v>
      </c>
      <c r="H26" s="270">
        <v>0.21825</v>
      </c>
      <c r="I26" s="270">
        <v>0.21762500000000001</v>
      </c>
      <c r="J26" s="270">
        <v>0.217</v>
      </c>
      <c r="K26" s="270">
        <v>0.20960000000000001</v>
      </c>
      <c r="L26" s="270">
        <v>0.20219999999999999</v>
      </c>
      <c r="M26" s="270">
        <v>0.1948</v>
      </c>
      <c r="N26" s="270">
        <v>0.18739999999999998</v>
      </c>
      <c r="O26" s="270">
        <v>0.18</v>
      </c>
      <c r="P26" s="270">
        <v>0.1726</v>
      </c>
      <c r="Q26" s="270">
        <v>0.16519999999999999</v>
      </c>
      <c r="R26" s="270">
        <v>0.1578</v>
      </c>
      <c r="S26" s="270">
        <v>0.15039999999999998</v>
      </c>
      <c r="T26" s="270">
        <v>0.14299999999999999</v>
      </c>
      <c r="U26" s="270">
        <v>0.13929999999999998</v>
      </c>
      <c r="V26" s="270">
        <v>0.1356</v>
      </c>
      <c r="W26" s="270">
        <v>0.13189999999999999</v>
      </c>
      <c r="X26" s="270">
        <v>0.12819999999999998</v>
      </c>
      <c r="Y26" s="270">
        <v>0.1245</v>
      </c>
      <c r="Z26" s="270">
        <v>0.12079999999999999</v>
      </c>
      <c r="AA26" s="270">
        <v>0.1171</v>
      </c>
      <c r="AB26" s="270">
        <v>0.1134</v>
      </c>
      <c r="AC26" s="270">
        <v>0.10969999999999999</v>
      </c>
      <c r="AD26" s="270">
        <v>0.106</v>
      </c>
      <c r="AE26" s="270">
        <v>0.105</v>
      </c>
      <c r="AF26" s="270">
        <v>0.104</v>
      </c>
      <c r="AG26" s="270">
        <v>0.10299999999999999</v>
      </c>
      <c r="AH26" s="270">
        <v>0.10199999999999999</v>
      </c>
      <c r="AI26" s="270">
        <v>0.10100000000000001</v>
      </c>
      <c r="AJ26" s="270">
        <v>0.1</v>
      </c>
      <c r="AK26" s="270">
        <v>9.9000000000000005E-2</v>
      </c>
      <c r="AL26" s="270">
        <v>9.8000000000000004E-2</v>
      </c>
      <c r="AM26" s="270">
        <v>9.7000000000000003E-2</v>
      </c>
      <c r="AN26" s="270">
        <v>9.6000000000000002E-2</v>
      </c>
    </row>
    <row r="27" spans="1:40" x14ac:dyDescent="0.25">
      <c r="A27" s="8" t="s">
        <v>234</v>
      </c>
      <c r="B27" s="270">
        <v>0.74</v>
      </c>
      <c r="C27" s="270">
        <v>0.73924999999999996</v>
      </c>
      <c r="D27" s="270">
        <v>0.73849999999999993</v>
      </c>
      <c r="E27" s="270">
        <v>0.73775000000000002</v>
      </c>
      <c r="F27" s="270">
        <v>0.73699999999999999</v>
      </c>
      <c r="G27" s="270">
        <v>0.73624999999999996</v>
      </c>
      <c r="H27" s="270">
        <v>0.73550000000000004</v>
      </c>
      <c r="I27" s="270">
        <v>0.73475000000000001</v>
      </c>
      <c r="J27" s="270">
        <v>0.73399999999999999</v>
      </c>
      <c r="K27" s="270">
        <v>0.72019999999999995</v>
      </c>
      <c r="L27" s="270">
        <v>0.70640000000000003</v>
      </c>
      <c r="M27" s="270">
        <v>0.69259999999999999</v>
      </c>
      <c r="N27" s="270">
        <v>0.67880000000000007</v>
      </c>
      <c r="O27" s="270">
        <v>0.66500000000000004</v>
      </c>
      <c r="P27" s="270">
        <v>0.6512</v>
      </c>
      <c r="Q27" s="270">
        <v>0.63740000000000008</v>
      </c>
      <c r="R27" s="270">
        <v>0.62360000000000004</v>
      </c>
      <c r="S27" s="270">
        <v>0.60980000000000012</v>
      </c>
      <c r="T27" s="270">
        <v>0.59600000000000009</v>
      </c>
      <c r="U27" s="270">
        <v>0.59810000000000008</v>
      </c>
      <c r="V27" s="270">
        <v>0.60020000000000007</v>
      </c>
      <c r="W27" s="270">
        <v>0.60230000000000006</v>
      </c>
      <c r="X27" s="270">
        <v>0.60440000000000005</v>
      </c>
      <c r="Y27" s="270">
        <v>0.60650000000000004</v>
      </c>
      <c r="Z27" s="270">
        <v>0.60860000000000003</v>
      </c>
      <c r="AA27" s="270">
        <v>0.61070000000000002</v>
      </c>
      <c r="AB27" s="270">
        <v>0.61280000000000001</v>
      </c>
      <c r="AC27" s="270">
        <v>0.6149</v>
      </c>
      <c r="AD27" s="270">
        <v>0.61699999999999999</v>
      </c>
      <c r="AE27" s="270">
        <v>0.62380000000000002</v>
      </c>
      <c r="AF27" s="270">
        <v>0.63059999999999994</v>
      </c>
      <c r="AG27" s="270">
        <v>0.63739999999999997</v>
      </c>
      <c r="AH27" s="270">
        <v>0.64419999999999999</v>
      </c>
      <c r="AI27" s="270">
        <v>0.65100000000000002</v>
      </c>
      <c r="AJ27" s="270">
        <v>0.65779999999999994</v>
      </c>
      <c r="AK27" s="270">
        <v>0.66459999999999997</v>
      </c>
      <c r="AL27" s="270">
        <v>0.6714</v>
      </c>
      <c r="AM27" s="270">
        <v>0.67819999999999991</v>
      </c>
      <c r="AN27" s="270">
        <v>0.68499999999999994</v>
      </c>
    </row>
    <row r="28" spans="1:40" x14ac:dyDescent="0.25">
      <c r="A28" s="8" t="s">
        <v>235</v>
      </c>
      <c r="B28" s="270">
        <v>0.188</v>
      </c>
      <c r="C28" s="270">
        <v>0.18087500000000001</v>
      </c>
      <c r="D28" s="270">
        <v>0.17375000000000002</v>
      </c>
      <c r="E28" s="270">
        <v>0.166625</v>
      </c>
      <c r="F28" s="270">
        <v>0.1595</v>
      </c>
      <c r="G28" s="270">
        <v>0.15237500000000001</v>
      </c>
      <c r="H28" s="270">
        <v>0.14524999999999999</v>
      </c>
      <c r="I28" s="270">
        <v>0.138125</v>
      </c>
      <c r="J28" s="270">
        <v>0.13100000000000001</v>
      </c>
      <c r="K28" s="270">
        <v>0.12520000000000001</v>
      </c>
      <c r="L28" s="270">
        <v>0.11940000000000001</v>
      </c>
      <c r="M28" s="270">
        <v>0.11360000000000001</v>
      </c>
      <c r="N28" s="270">
        <v>0.10780000000000001</v>
      </c>
      <c r="O28" s="270">
        <v>0.10200000000000001</v>
      </c>
      <c r="P28" s="270">
        <v>9.6200000000000008E-2</v>
      </c>
      <c r="Q28" s="270">
        <v>9.0400000000000008E-2</v>
      </c>
      <c r="R28" s="270">
        <v>8.4599999999999995E-2</v>
      </c>
      <c r="S28" s="270">
        <v>7.8799999999999995E-2</v>
      </c>
      <c r="T28" s="270">
        <v>7.2999999999999995E-2</v>
      </c>
      <c r="U28" s="270">
        <v>7.1099999999999997E-2</v>
      </c>
      <c r="V28" s="270">
        <v>6.9199999999999998E-2</v>
      </c>
      <c r="W28" s="270">
        <v>6.7299999999999999E-2</v>
      </c>
      <c r="X28" s="270">
        <v>6.54E-2</v>
      </c>
      <c r="Y28" s="270">
        <v>6.3500000000000001E-2</v>
      </c>
      <c r="Z28" s="270">
        <v>6.1600000000000002E-2</v>
      </c>
      <c r="AA28" s="270">
        <v>5.9700000000000003E-2</v>
      </c>
      <c r="AB28" s="270">
        <v>5.7799999999999997E-2</v>
      </c>
      <c r="AC28" s="270">
        <v>5.5899999999999998E-2</v>
      </c>
      <c r="AD28" s="270">
        <v>5.3999999999999999E-2</v>
      </c>
      <c r="AE28" s="270">
        <v>5.3100000000000001E-2</v>
      </c>
      <c r="AF28" s="270">
        <v>5.2199999999999996E-2</v>
      </c>
      <c r="AG28" s="270">
        <v>5.1299999999999998E-2</v>
      </c>
      <c r="AH28" s="270">
        <v>5.04E-2</v>
      </c>
      <c r="AI28" s="270">
        <v>4.9500000000000002E-2</v>
      </c>
      <c r="AJ28" s="270">
        <v>4.8599999999999997E-2</v>
      </c>
      <c r="AK28" s="270">
        <v>4.7699999999999999E-2</v>
      </c>
      <c r="AL28" s="270">
        <v>4.6799999999999994E-2</v>
      </c>
      <c r="AM28" s="270">
        <v>4.5899999999999996E-2</v>
      </c>
      <c r="AN28" s="270">
        <v>4.4999999999999998E-2</v>
      </c>
    </row>
    <row r="29" spans="1:40" x14ac:dyDescent="0.25">
      <c r="A29" s="8" t="s">
        <v>236</v>
      </c>
      <c r="B29" s="270">
        <v>0.92800000000000005</v>
      </c>
      <c r="C29" s="270">
        <v>0.92012500000000008</v>
      </c>
      <c r="D29" s="270">
        <v>0.91225000000000001</v>
      </c>
      <c r="E29" s="270">
        <v>0.90437500000000004</v>
      </c>
      <c r="F29" s="270">
        <v>0.89650000000000007</v>
      </c>
      <c r="G29" s="270">
        <v>0.888625</v>
      </c>
      <c r="H29" s="270">
        <v>0.88075000000000003</v>
      </c>
      <c r="I29" s="270">
        <v>0.87287499999999996</v>
      </c>
      <c r="J29" s="270">
        <v>0.86499999999999999</v>
      </c>
      <c r="K29" s="270">
        <v>0.84540000000000004</v>
      </c>
      <c r="L29" s="270">
        <v>0.82579999999999998</v>
      </c>
      <c r="M29" s="270">
        <v>0.80620000000000003</v>
      </c>
      <c r="N29" s="270">
        <v>0.78659999999999997</v>
      </c>
      <c r="O29" s="270">
        <v>0.76700000000000002</v>
      </c>
      <c r="P29" s="270">
        <v>0.74740000000000006</v>
      </c>
      <c r="Q29" s="270">
        <v>0.7278</v>
      </c>
      <c r="R29" s="270">
        <v>0.70820000000000005</v>
      </c>
      <c r="S29" s="270">
        <v>0.68859999999999999</v>
      </c>
      <c r="T29" s="270">
        <v>0.66900000000000004</v>
      </c>
      <c r="U29" s="270">
        <v>0.66920000000000002</v>
      </c>
      <c r="V29" s="270">
        <v>0.6694</v>
      </c>
      <c r="W29" s="270">
        <v>0.66960000000000008</v>
      </c>
      <c r="X29" s="270">
        <v>0.66980000000000006</v>
      </c>
      <c r="Y29" s="270">
        <v>0.67</v>
      </c>
      <c r="Z29" s="270">
        <v>0.67020000000000002</v>
      </c>
      <c r="AA29" s="270">
        <v>0.6704</v>
      </c>
      <c r="AB29" s="270">
        <v>0.67060000000000008</v>
      </c>
      <c r="AC29" s="270">
        <v>0.67080000000000006</v>
      </c>
      <c r="AD29" s="270">
        <v>0.67100000000000004</v>
      </c>
      <c r="AE29" s="270">
        <v>0.67690000000000006</v>
      </c>
      <c r="AF29" s="270">
        <v>0.68280000000000007</v>
      </c>
      <c r="AG29" s="270">
        <v>0.68869999999999998</v>
      </c>
      <c r="AH29" s="270">
        <v>0.6946</v>
      </c>
      <c r="AI29" s="270">
        <v>0.70050000000000001</v>
      </c>
      <c r="AJ29" s="270">
        <v>0.70640000000000003</v>
      </c>
      <c r="AK29" s="270">
        <v>0.71230000000000004</v>
      </c>
      <c r="AL29" s="270">
        <v>0.71819999999999995</v>
      </c>
      <c r="AM29" s="270">
        <v>0.72409999999999997</v>
      </c>
      <c r="AN29" s="270">
        <v>0.73</v>
      </c>
    </row>
    <row r="30" spans="1:40" x14ac:dyDescent="0.25">
      <c r="A30" s="8" t="s">
        <v>237</v>
      </c>
      <c r="B30" s="270">
        <v>0.68199999999999994</v>
      </c>
      <c r="C30" s="270">
        <v>0.69712499999999999</v>
      </c>
      <c r="D30" s="270">
        <v>0.71224999999999994</v>
      </c>
      <c r="E30" s="270">
        <v>0.72737499999999988</v>
      </c>
      <c r="F30" s="270">
        <v>0.74249999999999994</v>
      </c>
      <c r="G30" s="270">
        <v>0.75762499999999999</v>
      </c>
      <c r="H30" s="270">
        <v>0.77274999999999994</v>
      </c>
      <c r="I30" s="270">
        <v>0.78787499999999988</v>
      </c>
      <c r="J30" s="270">
        <v>0.80299999999999994</v>
      </c>
      <c r="K30" s="270">
        <v>0.79649999999999999</v>
      </c>
      <c r="L30" s="270">
        <v>0.78999999999999992</v>
      </c>
      <c r="M30" s="270">
        <v>0.78349999999999997</v>
      </c>
      <c r="N30" s="270">
        <v>0.77699999999999991</v>
      </c>
      <c r="O30" s="270">
        <v>0.77049999999999996</v>
      </c>
      <c r="P30" s="270">
        <v>0.76400000000000001</v>
      </c>
      <c r="Q30" s="270">
        <v>0.75749999999999995</v>
      </c>
      <c r="R30" s="270">
        <v>0.751</v>
      </c>
      <c r="S30" s="270">
        <v>0.74449999999999994</v>
      </c>
      <c r="T30" s="270">
        <v>0.73799999999999999</v>
      </c>
      <c r="U30" s="270">
        <v>0.7329</v>
      </c>
      <c r="V30" s="270">
        <v>0.7278</v>
      </c>
      <c r="W30" s="270">
        <v>0.72270000000000001</v>
      </c>
      <c r="X30" s="270">
        <v>0.71760000000000002</v>
      </c>
      <c r="Y30" s="270">
        <v>0.71250000000000002</v>
      </c>
      <c r="Z30" s="270">
        <v>0.70740000000000003</v>
      </c>
      <c r="AA30" s="270">
        <v>0.70230000000000004</v>
      </c>
      <c r="AB30" s="270">
        <v>0.69720000000000004</v>
      </c>
      <c r="AC30" s="270">
        <v>0.69210000000000005</v>
      </c>
      <c r="AD30" s="270">
        <v>0.68700000000000006</v>
      </c>
      <c r="AE30" s="270">
        <v>0.68190000000000006</v>
      </c>
      <c r="AF30" s="270">
        <v>0.67680000000000007</v>
      </c>
      <c r="AG30" s="270">
        <v>0.67170000000000007</v>
      </c>
      <c r="AH30" s="270">
        <v>0.66660000000000008</v>
      </c>
      <c r="AI30" s="270">
        <v>0.66149999999999998</v>
      </c>
      <c r="AJ30" s="270">
        <v>0.65639999999999998</v>
      </c>
      <c r="AK30" s="270">
        <v>0.65129999999999999</v>
      </c>
      <c r="AL30" s="270">
        <v>0.6462</v>
      </c>
      <c r="AM30" s="270">
        <v>0.6411</v>
      </c>
      <c r="AN30" s="270">
        <v>0.63600000000000001</v>
      </c>
    </row>
    <row r="31" spans="1:40" x14ac:dyDescent="0.25">
      <c r="A31" s="8" t="s">
        <v>238</v>
      </c>
      <c r="B31" s="270">
        <v>0.20200000000000001</v>
      </c>
      <c r="C31" s="270">
        <v>0.2</v>
      </c>
      <c r="D31" s="270">
        <v>0.19800000000000001</v>
      </c>
      <c r="E31" s="270">
        <v>0.19600000000000001</v>
      </c>
      <c r="F31" s="270">
        <v>0.19400000000000001</v>
      </c>
      <c r="G31" s="270">
        <v>0.192</v>
      </c>
      <c r="H31" s="270">
        <v>0.19</v>
      </c>
      <c r="I31" s="270">
        <v>0.188</v>
      </c>
      <c r="J31" s="270">
        <v>0.186</v>
      </c>
      <c r="K31" s="270">
        <v>0.18179999999999999</v>
      </c>
      <c r="L31" s="270">
        <v>0.17760000000000001</v>
      </c>
      <c r="M31" s="270">
        <v>0.1734</v>
      </c>
      <c r="N31" s="270">
        <v>0.16919999999999999</v>
      </c>
      <c r="O31" s="270">
        <v>0.16499999999999998</v>
      </c>
      <c r="P31" s="270">
        <v>0.1608</v>
      </c>
      <c r="Q31" s="270">
        <v>0.15659999999999999</v>
      </c>
      <c r="R31" s="270">
        <v>0.15239999999999998</v>
      </c>
      <c r="S31" s="270">
        <v>0.1482</v>
      </c>
      <c r="T31" s="270">
        <v>0.14399999999999999</v>
      </c>
      <c r="U31" s="270">
        <v>0.13999999999999999</v>
      </c>
      <c r="V31" s="270">
        <v>0.13599999999999998</v>
      </c>
      <c r="W31" s="270">
        <v>0.13199999999999998</v>
      </c>
      <c r="X31" s="270">
        <v>0.128</v>
      </c>
      <c r="Y31" s="270">
        <v>0.124</v>
      </c>
      <c r="Z31" s="270">
        <v>0.12</v>
      </c>
      <c r="AA31" s="270">
        <v>0.11599999999999999</v>
      </c>
      <c r="AB31" s="270">
        <v>0.11199999999999999</v>
      </c>
      <c r="AC31" s="270">
        <v>0.10799999999999998</v>
      </c>
      <c r="AD31" s="270">
        <v>0.104</v>
      </c>
      <c r="AE31" s="270">
        <v>0.1007</v>
      </c>
      <c r="AF31" s="270">
        <v>9.74E-2</v>
      </c>
      <c r="AG31" s="270">
        <v>9.4099999999999989E-2</v>
      </c>
      <c r="AH31" s="270">
        <v>9.0799999999999992E-2</v>
      </c>
      <c r="AI31" s="270">
        <v>8.7499999999999994E-2</v>
      </c>
      <c r="AJ31" s="270">
        <v>8.4199999999999997E-2</v>
      </c>
      <c r="AK31" s="270">
        <v>8.09E-2</v>
      </c>
      <c r="AL31" s="270">
        <v>7.7599999999999988E-2</v>
      </c>
      <c r="AM31" s="270">
        <v>7.4299999999999991E-2</v>
      </c>
      <c r="AN31" s="270">
        <v>7.0999999999999994E-2</v>
      </c>
    </row>
    <row r="32" spans="1:40" x14ac:dyDescent="0.25">
      <c r="A32" s="8" t="s">
        <v>239</v>
      </c>
      <c r="B32" s="270">
        <v>0.88400000000000001</v>
      </c>
      <c r="C32" s="270">
        <v>0.89712499999999995</v>
      </c>
      <c r="D32" s="270">
        <v>0.91025</v>
      </c>
      <c r="E32" s="270">
        <v>0.92337500000000006</v>
      </c>
      <c r="F32" s="270">
        <v>0.9365</v>
      </c>
      <c r="G32" s="270">
        <v>0.94962499999999994</v>
      </c>
      <c r="H32" s="270">
        <v>0.96274999999999999</v>
      </c>
      <c r="I32" s="270">
        <v>0.97587500000000005</v>
      </c>
      <c r="J32" s="270">
        <v>0.98899999999999999</v>
      </c>
      <c r="K32" s="270">
        <v>0.97829999999999995</v>
      </c>
      <c r="L32" s="270">
        <v>0.96760000000000002</v>
      </c>
      <c r="M32" s="270">
        <v>0.95689999999999997</v>
      </c>
      <c r="N32" s="270">
        <v>0.94620000000000004</v>
      </c>
      <c r="O32" s="270">
        <v>0.9355</v>
      </c>
      <c r="P32" s="270">
        <v>0.92479999999999996</v>
      </c>
      <c r="Q32" s="270">
        <v>0.91410000000000002</v>
      </c>
      <c r="R32" s="270">
        <v>0.90339999999999998</v>
      </c>
      <c r="S32" s="270">
        <v>0.89270000000000005</v>
      </c>
      <c r="T32" s="270">
        <v>0.88200000000000001</v>
      </c>
      <c r="U32" s="270">
        <v>0.87290000000000001</v>
      </c>
      <c r="V32" s="270">
        <v>0.86380000000000001</v>
      </c>
      <c r="W32" s="270">
        <v>0.85470000000000002</v>
      </c>
      <c r="X32" s="270">
        <v>0.84560000000000002</v>
      </c>
      <c r="Y32" s="270">
        <v>0.83650000000000002</v>
      </c>
      <c r="Z32" s="270">
        <v>0.82740000000000002</v>
      </c>
      <c r="AA32" s="270">
        <v>0.81830000000000003</v>
      </c>
      <c r="AB32" s="270">
        <v>0.80920000000000003</v>
      </c>
      <c r="AC32" s="270">
        <v>0.80010000000000003</v>
      </c>
      <c r="AD32" s="270">
        <v>0.79100000000000004</v>
      </c>
      <c r="AE32" s="270">
        <v>0.78260000000000007</v>
      </c>
      <c r="AF32" s="270">
        <v>0.7742</v>
      </c>
      <c r="AG32" s="270">
        <v>0.76580000000000004</v>
      </c>
      <c r="AH32" s="270">
        <v>0.75739999999999996</v>
      </c>
      <c r="AI32" s="270">
        <v>0.749</v>
      </c>
      <c r="AJ32" s="270">
        <v>0.74060000000000004</v>
      </c>
      <c r="AK32" s="270">
        <v>0.73219999999999996</v>
      </c>
      <c r="AL32" s="270">
        <v>0.7238</v>
      </c>
      <c r="AM32" s="270">
        <v>0.71539999999999992</v>
      </c>
      <c r="AN32" s="270">
        <v>0.70699999999999996</v>
      </c>
    </row>
    <row r="33" spans="1:40" x14ac:dyDescent="0.25">
      <c r="A33" s="8" t="s">
        <v>240</v>
      </c>
      <c r="B33" s="270">
        <v>0.77799999999999991</v>
      </c>
      <c r="C33" s="270">
        <v>0.79674999999999996</v>
      </c>
      <c r="D33" s="270">
        <v>0.81549999999999989</v>
      </c>
      <c r="E33" s="270">
        <v>0.83424999999999994</v>
      </c>
      <c r="F33" s="270">
        <v>0.85299999999999998</v>
      </c>
      <c r="G33" s="270">
        <v>0.87174999999999991</v>
      </c>
      <c r="H33" s="270">
        <v>0.89049999999999996</v>
      </c>
      <c r="I33" s="270">
        <v>0.90924999999999989</v>
      </c>
      <c r="J33" s="270">
        <v>0.92799999999999994</v>
      </c>
      <c r="K33" s="270">
        <v>0.90519999999999989</v>
      </c>
      <c r="L33" s="270">
        <v>0.88239999999999996</v>
      </c>
      <c r="M33" s="270">
        <v>0.85959999999999992</v>
      </c>
      <c r="N33" s="270">
        <v>0.83679999999999999</v>
      </c>
      <c r="O33" s="270">
        <v>0.81399999999999995</v>
      </c>
      <c r="P33" s="270">
        <v>0.7911999999999999</v>
      </c>
      <c r="Q33" s="270">
        <v>0.76839999999999997</v>
      </c>
      <c r="R33" s="270">
        <v>0.74559999999999993</v>
      </c>
      <c r="S33" s="270">
        <v>0.72279999999999989</v>
      </c>
      <c r="T33" s="270">
        <v>0.7</v>
      </c>
      <c r="U33" s="270">
        <v>0.69679999999999997</v>
      </c>
      <c r="V33" s="270">
        <v>0.69359999999999999</v>
      </c>
      <c r="W33" s="270">
        <v>0.69040000000000001</v>
      </c>
      <c r="X33" s="270">
        <v>0.68720000000000003</v>
      </c>
      <c r="Y33" s="270">
        <v>0.68399999999999994</v>
      </c>
      <c r="Z33" s="270">
        <v>0.68079999999999996</v>
      </c>
      <c r="AA33" s="270">
        <v>0.67759999999999998</v>
      </c>
      <c r="AB33" s="270">
        <v>0.6744</v>
      </c>
      <c r="AC33" s="270">
        <v>0.67120000000000002</v>
      </c>
      <c r="AD33" s="270">
        <v>0.66800000000000004</v>
      </c>
      <c r="AE33" s="270">
        <v>0.66610000000000003</v>
      </c>
      <c r="AF33" s="270">
        <v>0.66420000000000001</v>
      </c>
      <c r="AG33" s="270">
        <v>0.6623</v>
      </c>
      <c r="AH33" s="270">
        <v>0.66039999999999999</v>
      </c>
      <c r="AI33" s="270">
        <v>0.65850000000000009</v>
      </c>
      <c r="AJ33" s="270">
        <v>0.65660000000000007</v>
      </c>
      <c r="AK33" s="270">
        <v>0.65470000000000006</v>
      </c>
      <c r="AL33" s="270">
        <v>0.65280000000000005</v>
      </c>
      <c r="AM33" s="270">
        <v>0.65090000000000003</v>
      </c>
      <c r="AN33" s="270">
        <v>0.64900000000000002</v>
      </c>
    </row>
    <row r="34" spans="1:40" x14ac:dyDescent="0.25">
      <c r="A34" s="8" t="s">
        <v>241</v>
      </c>
      <c r="B34" s="270">
        <v>0.245</v>
      </c>
      <c r="C34" s="270">
        <v>0.24237500000000001</v>
      </c>
      <c r="D34" s="270">
        <v>0.23974999999999999</v>
      </c>
      <c r="E34" s="270">
        <v>0.237125</v>
      </c>
      <c r="F34" s="270">
        <v>0.23449999999999999</v>
      </c>
      <c r="G34" s="270">
        <v>0.231875</v>
      </c>
      <c r="H34" s="270">
        <v>0.22925000000000001</v>
      </c>
      <c r="I34" s="270">
        <v>0.22662499999999999</v>
      </c>
      <c r="J34" s="270">
        <v>0.224</v>
      </c>
      <c r="K34" s="270">
        <v>0.21410000000000001</v>
      </c>
      <c r="L34" s="270">
        <v>0.20419999999999999</v>
      </c>
      <c r="M34" s="270">
        <v>0.1943</v>
      </c>
      <c r="N34" s="270">
        <v>0.18440000000000001</v>
      </c>
      <c r="O34" s="270">
        <v>0.17449999999999999</v>
      </c>
      <c r="P34" s="270">
        <v>0.1646</v>
      </c>
      <c r="Q34" s="270">
        <v>0.1547</v>
      </c>
      <c r="R34" s="270">
        <v>0.14479999999999998</v>
      </c>
      <c r="S34" s="270">
        <v>0.13489999999999999</v>
      </c>
      <c r="T34" s="270">
        <v>0.125</v>
      </c>
      <c r="U34" s="270">
        <v>0.1215</v>
      </c>
      <c r="V34" s="270">
        <v>0.11799999999999999</v>
      </c>
      <c r="W34" s="270">
        <v>0.1145</v>
      </c>
      <c r="X34" s="270">
        <v>0.111</v>
      </c>
      <c r="Y34" s="270">
        <v>0.1075</v>
      </c>
      <c r="Z34" s="270">
        <v>0.104</v>
      </c>
      <c r="AA34" s="270">
        <v>0.10050000000000001</v>
      </c>
      <c r="AB34" s="270">
        <v>9.7000000000000003E-2</v>
      </c>
      <c r="AC34" s="270">
        <v>9.35E-2</v>
      </c>
      <c r="AD34" s="270">
        <v>0.09</v>
      </c>
      <c r="AE34" s="270">
        <v>8.7399999999999992E-2</v>
      </c>
      <c r="AF34" s="270">
        <v>8.48E-2</v>
      </c>
      <c r="AG34" s="270">
        <v>8.2199999999999995E-2</v>
      </c>
      <c r="AH34" s="270">
        <v>7.9600000000000004E-2</v>
      </c>
      <c r="AI34" s="270">
        <v>7.6999999999999999E-2</v>
      </c>
      <c r="AJ34" s="270">
        <v>7.4399999999999994E-2</v>
      </c>
      <c r="AK34" s="270">
        <v>7.1800000000000003E-2</v>
      </c>
      <c r="AL34" s="270">
        <v>6.9199999999999998E-2</v>
      </c>
      <c r="AM34" s="270">
        <v>6.6599999999999993E-2</v>
      </c>
      <c r="AN34" s="270">
        <v>6.4000000000000001E-2</v>
      </c>
    </row>
    <row r="35" spans="1:40" x14ac:dyDescent="0.25">
      <c r="A35" s="8" t="s">
        <v>242</v>
      </c>
      <c r="B35" s="270">
        <v>1.0229999999999999</v>
      </c>
      <c r="C35" s="270">
        <v>1.0391249999999999</v>
      </c>
      <c r="D35" s="270">
        <v>1.05525</v>
      </c>
      <c r="E35" s="270">
        <v>1.071375</v>
      </c>
      <c r="F35" s="270">
        <v>1.0874999999999999</v>
      </c>
      <c r="G35" s="270">
        <v>1.1036249999999999</v>
      </c>
      <c r="H35" s="270">
        <v>1.1197499999999998</v>
      </c>
      <c r="I35" s="270">
        <v>1.135875</v>
      </c>
      <c r="J35" s="270">
        <v>1.1519999999999999</v>
      </c>
      <c r="K35" s="270">
        <v>1.1193</v>
      </c>
      <c r="L35" s="270">
        <v>1.0866</v>
      </c>
      <c r="M35" s="270">
        <v>1.0538999999999998</v>
      </c>
      <c r="N35" s="270">
        <v>1.0211999999999999</v>
      </c>
      <c r="O35" s="270">
        <v>0.98849999999999993</v>
      </c>
      <c r="P35" s="270">
        <v>0.95579999999999998</v>
      </c>
      <c r="Q35" s="270">
        <v>0.92309999999999992</v>
      </c>
      <c r="R35" s="270">
        <v>0.89039999999999986</v>
      </c>
      <c r="S35" s="270">
        <v>0.85769999999999991</v>
      </c>
      <c r="T35" s="270">
        <v>0.82499999999999996</v>
      </c>
      <c r="U35" s="270">
        <v>0.81829999999999992</v>
      </c>
      <c r="V35" s="270">
        <v>0.81159999999999999</v>
      </c>
      <c r="W35" s="270">
        <v>0.80489999999999995</v>
      </c>
      <c r="X35" s="270">
        <v>0.79820000000000002</v>
      </c>
      <c r="Y35" s="270">
        <v>0.79149999999999998</v>
      </c>
      <c r="Z35" s="270">
        <v>0.78479999999999994</v>
      </c>
      <c r="AA35" s="270">
        <v>0.77810000000000001</v>
      </c>
      <c r="AB35" s="270">
        <v>0.77139999999999997</v>
      </c>
      <c r="AC35" s="270">
        <v>0.76470000000000005</v>
      </c>
      <c r="AD35" s="270">
        <v>0.75800000000000001</v>
      </c>
      <c r="AE35" s="270">
        <v>0.75350000000000006</v>
      </c>
      <c r="AF35" s="270">
        <v>0.749</v>
      </c>
      <c r="AG35" s="270">
        <v>0.74449999999999994</v>
      </c>
      <c r="AH35" s="270">
        <v>0.74</v>
      </c>
      <c r="AI35" s="270">
        <v>0.73550000000000004</v>
      </c>
      <c r="AJ35" s="270">
        <v>0.73099999999999998</v>
      </c>
      <c r="AK35" s="270">
        <v>0.72649999999999992</v>
      </c>
      <c r="AL35" s="270">
        <v>0.72199999999999998</v>
      </c>
      <c r="AM35" s="270">
        <v>0.71750000000000003</v>
      </c>
      <c r="AN35" s="270">
        <v>0.71299999999999997</v>
      </c>
    </row>
    <row r="37" spans="1:40" x14ac:dyDescent="0.25">
      <c r="A37" t="s">
        <v>245</v>
      </c>
    </row>
    <row r="38" spans="1:40" x14ac:dyDescent="0.25">
      <c r="A38" s="8" t="s">
        <v>197</v>
      </c>
      <c r="B38" s="272">
        <v>2022</v>
      </c>
      <c r="C38" s="8">
        <v>2023</v>
      </c>
      <c r="D38" s="8">
        <v>2024</v>
      </c>
      <c r="E38" s="8">
        <v>2025</v>
      </c>
      <c r="F38" s="8">
        <v>2026</v>
      </c>
      <c r="G38" s="8">
        <v>2027</v>
      </c>
      <c r="H38" s="8">
        <v>2028</v>
      </c>
      <c r="I38" s="8">
        <v>2029</v>
      </c>
      <c r="J38" s="8">
        <v>2030</v>
      </c>
      <c r="K38" s="8">
        <v>2031</v>
      </c>
      <c r="L38" s="8">
        <v>2032</v>
      </c>
      <c r="M38" s="8">
        <v>2033</v>
      </c>
      <c r="N38" s="8">
        <v>2034</v>
      </c>
      <c r="O38" s="8">
        <v>2035</v>
      </c>
      <c r="P38" s="8">
        <v>2036</v>
      </c>
      <c r="Q38" s="8">
        <v>2037</v>
      </c>
      <c r="R38" s="8">
        <v>2038</v>
      </c>
      <c r="S38" s="8">
        <v>2039</v>
      </c>
      <c r="T38" s="8">
        <v>2040</v>
      </c>
      <c r="U38" s="8">
        <v>2041</v>
      </c>
      <c r="V38" s="8">
        <v>2042</v>
      </c>
      <c r="W38" s="8">
        <v>2043</v>
      </c>
      <c r="X38" s="8">
        <v>2044</v>
      </c>
      <c r="Y38" s="8">
        <v>2045</v>
      </c>
      <c r="Z38" s="8">
        <v>2046</v>
      </c>
      <c r="AA38" s="8">
        <v>2047</v>
      </c>
      <c r="AB38" s="8">
        <v>2048</v>
      </c>
      <c r="AC38" s="8">
        <v>2049</v>
      </c>
      <c r="AD38" s="8">
        <v>2050</v>
      </c>
      <c r="AE38" s="8">
        <v>2051</v>
      </c>
      <c r="AF38" s="8">
        <v>2052</v>
      </c>
      <c r="AG38" s="8">
        <v>2053</v>
      </c>
      <c r="AH38" s="8">
        <v>2054</v>
      </c>
      <c r="AI38" s="8">
        <v>2055</v>
      </c>
      <c r="AJ38" s="8">
        <v>2056</v>
      </c>
      <c r="AK38" s="8">
        <v>2057</v>
      </c>
      <c r="AL38" s="8">
        <v>2058</v>
      </c>
      <c r="AM38" s="8">
        <v>2059</v>
      </c>
      <c r="AN38" s="8">
        <v>2060</v>
      </c>
    </row>
    <row r="39" spans="1:40" x14ac:dyDescent="0.25">
      <c r="A39" s="8" t="s">
        <v>199</v>
      </c>
      <c r="B39" s="122">
        <v>140</v>
      </c>
      <c r="C39" s="58">
        <v>142</v>
      </c>
      <c r="D39" s="58">
        <v>144</v>
      </c>
      <c r="E39" s="58">
        <v>146</v>
      </c>
      <c r="F39" s="58">
        <v>148</v>
      </c>
      <c r="G39" s="58">
        <v>150</v>
      </c>
      <c r="H39" s="58">
        <v>152</v>
      </c>
      <c r="I39" s="58">
        <v>154</v>
      </c>
      <c r="J39" s="58">
        <v>156</v>
      </c>
      <c r="K39" s="58">
        <v>158.4</v>
      </c>
      <c r="L39" s="58">
        <v>160.80000000000001</v>
      </c>
      <c r="M39" s="58">
        <v>163.19999999999999</v>
      </c>
      <c r="N39" s="58">
        <v>165.6</v>
      </c>
      <c r="O39" s="58">
        <v>168</v>
      </c>
      <c r="P39" s="58">
        <v>170.4</v>
      </c>
      <c r="Q39" s="58">
        <v>172.8</v>
      </c>
      <c r="R39" s="58">
        <v>175.2</v>
      </c>
      <c r="S39" s="58">
        <v>177.6</v>
      </c>
      <c r="T39" s="58">
        <v>180</v>
      </c>
      <c r="U39" s="58">
        <v>182.7</v>
      </c>
      <c r="V39" s="58">
        <v>185.4</v>
      </c>
      <c r="W39" s="58">
        <v>188.1</v>
      </c>
      <c r="X39" s="58">
        <v>190.8</v>
      </c>
      <c r="Y39" s="58">
        <v>193.5</v>
      </c>
      <c r="Z39" s="58">
        <v>196.2</v>
      </c>
      <c r="AA39" s="58">
        <v>198.9</v>
      </c>
      <c r="AB39" s="58">
        <v>201.6</v>
      </c>
      <c r="AC39" s="58">
        <v>204.3</v>
      </c>
      <c r="AD39" s="58">
        <v>207</v>
      </c>
      <c r="AE39" s="58">
        <v>210</v>
      </c>
      <c r="AF39" s="58">
        <v>213</v>
      </c>
      <c r="AG39" s="58">
        <v>216</v>
      </c>
      <c r="AH39" s="58">
        <v>219</v>
      </c>
      <c r="AI39" s="58">
        <v>222</v>
      </c>
      <c r="AJ39" s="58">
        <v>225</v>
      </c>
      <c r="AK39" s="58">
        <v>228</v>
      </c>
      <c r="AL39" s="58">
        <v>231</v>
      </c>
      <c r="AM39" s="58">
        <v>234</v>
      </c>
      <c r="AN39" s="122">
        <v>237</v>
      </c>
    </row>
    <row r="40" spans="1:40" x14ac:dyDescent="0.25">
      <c r="A40" s="8" t="s">
        <v>200</v>
      </c>
      <c r="B40" s="122">
        <v>740</v>
      </c>
      <c r="C40" s="58">
        <v>750.875</v>
      </c>
      <c r="D40" s="58">
        <v>761.75</v>
      </c>
      <c r="E40" s="58">
        <v>772.625</v>
      </c>
      <c r="F40" s="58">
        <v>783.5</v>
      </c>
      <c r="G40" s="58">
        <v>794.375</v>
      </c>
      <c r="H40" s="58">
        <v>805.25</v>
      </c>
      <c r="I40" s="58">
        <v>816.125</v>
      </c>
      <c r="J40" s="58">
        <v>827</v>
      </c>
      <c r="K40" s="58">
        <v>839.3</v>
      </c>
      <c r="L40" s="58">
        <v>851.6</v>
      </c>
      <c r="M40" s="58">
        <v>863.9</v>
      </c>
      <c r="N40" s="58">
        <v>876.2</v>
      </c>
      <c r="O40" s="58">
        <v>888.5</v>
      </c>
      <c r="P40" s="58">
        <v>900.8</v>
      </c>
      <c r="Q40" s="58">
        <v>913.1</v>
      </c>
      <c r="R40" s="58">
        <v>925.4</v>
      </c>
      <c r="S40" s="58">
        <v>937.7</v>
      </c>
      <c r="T40" s="58">
        <v>950</v>
      </c>
      <c r="U40" s="58">
        <v>964.2</v>
      </c>
      <c r="V40" s="58">
        <v>978.4</v>
      </c>
      <c r="W40" s="58">
        <v>992.6</v>
      </c>
      <c r="X40" s="58">
        <v>1006.8</v>
      </c>
      <c r="Y40" s="58">
        <v>1021</v>
      </c>
      <c r="Z40" s="58">
        <v>1035.2</v>
      </c>
      <c r="AA40" s="58">
        <v>1049.4000000000001</v>
      </c>
      <c r="AB40" s="58">
        <v>1063.5999999999999</v>
      </c>
      <c r="AC40" s="58">
        <v>1077.8</v>
      </c>
      <c r="AD40" s="58">
        <v>1092</v>
      </c>
      <c r="AE40" s="58">
        <v>1108.3</v>
      </c>
      <c r="AF40" s="58">
        <v>1124.5999999999999</v>
      </c>
      <c r="AG40" s="58">
        <v>1140.9000000000001</v>
      </c>
      <c r="AH40" s="58">
        <v>1157.2</v>
      </c>
      <c r="AI40" s="58">
        <v>1173.5</v>
      </c>
      <c r="AJ40" s="58">
        <v>1189.8</v>
      </c>
      <c r="AK40" s="58">
        <v>1206.0999999999999</v>
      </c>
      <c r="AL40" s="58">
        <v>1222.4000000000001</v>
      </c>
      <c r="AM40" s="58">
        <v>1238.7</v>
      </c>
      <c r="AN40" s="122">
        <v>1255</v>
      </c>
    </row>
    <row r="41" spans="1:40" x14ac:dyDescent="0.25">
      <c r="A41" s="8" t="s">
        <v>201</v>
      </c>
      <c r="B41" s="122">
        <v>1870</v>
      </c>
      <c r="C41" s="58">
        <v>1897.5</v>
      </c>
      <c r="D41" s="58">
        <v>1925</v>
      </c>
      <c r="E41" s="58">
        <v>1952.5</v>
      </c>
      <c r="F41" s="58">
        <v>1980</v>
      </c>
      <c r="G41" s="58">
        <v>2007.5</v>
      </c>
      <c r="H41" s="58">
        <v>2035</v>
      </c>
      <c r="I41" s="58">
        <v>2062.5</v>
      </c>
      <c r="J41" s="58">
        <v>2090</v>
      </c>
      <c r="K41" s="58">
        <v>2121.1999999999998</v>
      </c>
      <c r="L41" s="58">
        <v>2152.4</v>
      </c>
      <c r="M41" s="58">
        <v>2183.6</v>
      </c>
      <c r="N41" s="58">
        <v>2214.8000000000002</v>
      </c>
      <c r="O41" s="58">
        <v>2246</v>
      </c>
      <c r="P41" s="58">
        <v>2277.1999999999998</v>
      </c>
      <c r="Q41" s="58">
        <v>2308.4</v>
      </c>
      <c r="R41" s="58">
        <v>2339.6</v>
      </c>
      <c r="S41" s="58">
        <v>2370.8000000000002</v>
      </c>
      <c r="T41" s="58">
        <v>2402</v>
      </c>
      <c r="U41" s="58">
        <v>2437.8000000000002</v>
      </c>
      <c r="V41" s="58">
        <v>2473.6</v>
      </c>
      <c r="W41" s="58">
        <v>2509.4</v>
      </c>
      <c r="X41" s="58">
        <v>2545.1999999999998</v>
      </c>
      <c r="Y41" s="58">
        <v>2581</v>
      </c>
      <c r="Z41" s="58">
        <v>2616.8000000000002</v>
      </c>
      <c r="AA41" s="58">
        <v>2652.6</v>
      </c>
      <c r="AB41" s="58">
        <v>2688.4</v>
      </c>
      <c r="AC41" s="58">
        <v>2724.2</v>
      </c>
      <c r="AD41" s="58">
        <v>2760</v>
      </c>
      <c r="AE41" s="58">
        <v>2801.2</v>
      </c>
      <c r="AF41" s="58">
        <v>2842.4</v>
      </c>
      <c r="AG41" s="58">
        <v>2883.6</v>
      </c>
      <c r="AH41" s="58">
        <v>2924.8</v>
      </c>
      <c r="AI41" s="58">
        <v>2966</v>
      </c>
      <c r="AJ41" s="58">
        <v>3007.2</v>
      </c>
      <c r="AK41" s="58">
        <v>3048.4</v>
      </c>
      <c r="AL41" s="58">
        <v>3089.6</v>
      </c>
      <c r="AM41" s="58">
        <v>3130.8</v>
      </c>
      <c r="AN41" s="122">
        <v>3172</v>
      </c>
    </row>
    <row r="42" spans="1:40" x14ac:dyDescent="0.25">
      <c r="A42" s="8" t="s">
        <v>202</v>
      </c>
      <c r="B42" s="122">
        <v>3500</v>
      </c>
      <c r="C42" s="58">
        <v>3551.5</v>
      </c>
      <c r="D42" s="58">
        <v>3603</v>
      </c>
      <c r="E42" s="58">
        <v>3654.5</v>
      </c>
      <c r="F42" s="58">
        <v>3706</v>
      </c>
      <c r="G42" s="58">
        <v>3757.5</v>
      </c>
      <c r="H42" s="58">
        <v>3809</v>
      </c>
      <c r="I42" s="58">
        <v>3860.5</v>
      </c>
      <c r="J42" s="58">
        <v>3912</v>
      </c>
      <c r="K42" s="58">
        <v>3970.3</v>
      </c>
      <c r="L42" s="58">
        <v>4028.6</v>
      </c>
      <c r="M42" s="58">
        <v>4086.9</v>
      </c>
      <c r="N42" s="58">
        <v>4145.2</v>
      </c>
      <c r="O42" s="58">
        <v>4203.5</v>
      </c>
      <c r="P42" s="58">
        <v>4261.8</v>
      </c>
      <c r="Q42" s="58">
        <v>4320.1000000000004</v>
      </c>
      <c r="R42" s="58">
        <v>4378.3999999999996</v>
      </c>
      <c r="S42" s="58">
        <v>4436.7</v>
      </c>
      <c r="T42" s="58">
        <v>4495</v>
      </c>
      <c r="U42" s="58">
        <v>4562.1000000000004</v>
      </c>
      <c r="V42" s="58">
        <v>4629.2</v>
      </c>
      <c r="W42" s="58">
        <v>4696.3</v>
      </c>
      <c r="X42" s="58">
        <v>4763.3999999999996</v>
      </c>
      <c r="Y42" s="58">
        <v>4830.5</v>
      </c>
      <c r="Z42" s="58">
        <v>4897.6000000000004</v>
      </c>
      <c r="AA42" s="58">
        <v>4964.7</v>
      </c>
      <c r="AB42" s="58">
        <v>5031.8</v>
      </c>
      <c r="AC42" s="58">
        <v>5098.8999999999996</v>
      </c>
      <c r="AD42" s="58">
        <v>5166</v>
      </c>
      <c r="AE42" s="58">
        <v>5243</v>
      </c>
      <c r="AF42" s="58">
        <v>5320</v>
      </c>
      <c r="AG42" s="58">
        <v>5397</v>
      </c>
      <c r="AH42" s="58">
        <v>5474</v>
      </c>
      <c r="AI42" s="58">
        <v>5551</v>
      </c>
      <c r="AJ42" s="58">
        <v>5628</v>
      </c>
      <c r="AK42" s="58">
        <v>5705</v>
      </c>
      <c r="AL42" s="58">
        <v>5782</v>
      </c>
      <c r="AM42" s="58">
        <v>5859</v>
      </c>
      <c r="AN42" s="122">
        <v>5936</v>
      </c>
    </row>
    <row r="43" spans="1:40" x14ac:dyDescent="0.25">
      <c r="A43" s="8" t="s">
        <v>203</v>
      </c>
      <c r="B43" s="122">
        <v>5900</v>
      </c>
      <c r="C43" s="58">
        <v>5986.75</v>
      </c>
      <c r="D43" s="58">
        <v>6073.5</v>
      </c>
      <c r="E43" s="58">
        <v>6160.25</v>
      </c>
      <c r="F43" s="58">
        <v>6247</v>
      </c>
      <c r="G43" s="58">
        <v>6333.75</v>
      </c>
      <c r="H43" s="58">
        <v>6420.5</v>
      </c>
      <c r="I43" s="58">
        <v>6507.25</v>
      </c>
      <c r="J43" s="58">
        <v>6594</v>
      </c>
      <c r="K43" s="58">
        <v>6692.4</v>
      </c>
      <c r="L43" s="58">
        <v>6790.8</v>
      </c>
      <c r="M43" s="58">
        <v>6889.2</v>
      </c>
      <c r="N43" s="58">
        <v>6987.6</v>
      </c>
      <c r="O43" s="58">
        <v>7086</v>
      </c>
      <c r="P43" s="58">
        <v>7184.4</v>
      </c>
      <c r="Q43" s="58">
        <v>7282.8</v>
      </c>
      <c r="R43" s="58">
        <v>7381.2</v>
      </c>
      <c r="S43" s="58">
        <v>7479.6</v>
      </c>
      <c r="T43" s="58">
        <v>7578</v>
      </c>
      <c r="U43" s="58">
        <v>7691</v>
      </c>
      <c r="V43" s="58">
        <v>7804</v>
      </c>
      <c r="W43" s="58">
        <v>7917</v>
      </c>
      <c r="X43" s="58">
        <v>8030</v>
      </c>
      <c r="Y43" s="58">
        <v>8143</v>
      </c>
      <c r="Z43" s="58">
        <v>8256</v>
      </c>
      <c r="AA43" s="58">
        <v>8369</v>
      </c>
      <c r="AB43" s="58">
        <v>8482</v>
      </c>
      <c r="AC43" s="58">
        <v>8595</v>
      </c>
      <c r="AD43" s="58">
        <v>8708</v>
      </c>
      <c r="AE43" s="58">
        <v>8837.9</v>
      </c>
      <c r="AF43" s="58">
        <v>8967.7999999999993</v>
      </c>
      <c r="AG43" s="58">
        <v>9097.7000000000007</v>
      </c>
      <c r="AH43" s="58">
        <v>9227.6</v>
      </c>
      <c r="AI43" s="58">
        <v>9357.5</v>
      </c>
      <c r="AJ43" s="58">
        <v>9487.4</v>
      </c>
      <c r="AK43" s="58">
        <v>9617.2999999999993</v>
      </c>
      <c r="AL43" s="58">
        <v>9747.2000000000007</v>
      </c>
      <c r="AM43" s="58">
        <v>9877.1</v>
      </c>
      <c r="AN43" s="122">
        <v>10007</v>
      </c>
    </row>
    <row r="45" spans="1:40" x14ac:dyDescent="0.25">
      <c r="A45" s="8" t="s">
        <v>243</v>
      </c>
      <c r="B45" s="8">
        <v>2022</v>
      </c>
      <c r="C45" s="8">
        <v>2023</v>
      </c>
      <c r="D45" s="8">
        <v>2024</v>
      </c>
      <c r="E45" s="8">
        <v>2025</v>
      </c>
      <c r="F45" s="8">
        <v>2026</v>
      </c>
      <c r="G45" s="8">
        <v>2027</v>
      </c>
      <c r="H45" s="8">
        <v>2028</v>
      </c>
      <c r="I45" s="8">
        <v>2029</v>
      </c>
      <c r="J45" s="8">
        <v>2030</v>
      </c>
      <c r="K45" s="8">
        <v>2031</v>
      </c>
      <c r="L45" s="8">
        <v>2032</v>
      </c>
      <c r="M45" s="8">
        <v>2033</v>
      </c>
      <c r="N45" s="8">
        <v>2034</v>
      </c>
      <c r="O45" s="8">
        <v>2035</v>
      </c>
      <c r="P45" s="8">
        <v>2036</v>
      </c>
      <c r="Q45" s="8">
        <v>2037</v>
      </c>
      <c r="R45" s="8">
        <v>2038</v>
      </c>
      <c r="S45" s="8">
        <v>2039</v>
      </c>
      <c r="T45" s="8">
        <v>2040</v>
      </c>
      <c r="U45" s="8">
        <v>2041</v>
      </c>
      <c r="V45" s="8">
        <v>2042</v>
      </c>
      <c r="W45" s="8">
        <v>2043</v>
      </c>
      <c r="X45" s="8">
        <v>2044</v>
      </c>
      <c r="Y45" s="8">
        <v>2045</v>
      </c>
      <c r="Z45" s="8">
        <v>2046</v>
      </c>
      <c r="AA45" s="8">
        <v>2047</v>
      </c>
      <c r="AB45" s="8">
        <v>2048</v>
      </c>
      <c r="AC45" s="8">
        <v>2049</v>
      </c>
      <c r="AD45" s="8">
        <v>2050</v>
      </c>
      <c r="AE45" s="8">
        <v>2051</v>
      </c>
      <c r="AF45" s="8">
        <v>2052</v>
      </c>
      <c r="AG45" s="8">
        <v>2053</v>
      </c>
      <c r="AH45" s="8">
        <v>2054</v>
      </c>
      <c r="AI45" s="8">
        <v>2055</v>
      </c>
      <c r="AJ45" s="8">
        <v>2056</v>
      </c>
      <c r="AK45" s="8">
        <v>2057</v>
      </c>
      <c r="AL45" s="8">
        <v>2058</v>
      </c>
      <c r="AM45" s="8">
        <v>2059</v>
      </c>
      <c r="AN45" s="8">
        <v>2060</v>
      </c>
    </row>
    <row r="46" spans="1:40" x14ac:dyDescent="0.25">
      <c r="A46" s="8" t="s">
        <v>194</v>
      </c>
      <c r="B46" s="8">
        <v>1664</v>
      </c>
      <c r="C46" s="8">
        <v>1688.5</v>
      </c>
      <c r="D46" s="8">
        <v>1713</v>
      </c>
      <c r="E46" s="8">
        <v>1737.5</v>
      </c>
      <c r="F46" s="8">
        <v>1762</v>
      </c>
      <c r="G46" s="8">
        <v>1786.5</v>
      </c>
      <c r="H46" s="8">
        <v>1811</v>
      </c>
      <c r="I46" s="8">
        <v>1835.5</v>
      </c>
      <c r="J46" s="8">
        <v>1860</v>
      </c>
      <c r="K46" s="8">
        <v>1887.7</v>
      </c>
      <c r="L46" s="8">
        <v>1915.4</v>
      </c>
      <c r="M46" s="8">
        <v>1943.1</v>
      </c>
      <c r="N46" s="8">
        <v>1970.8</v>
      </c>
      <c r="O46" s="8">
        <v>1998.5</v>
      </c>
      <c r="P46" s="8">
        <v>2026.2</v>
      </c>
      <c r="Q46" s="8">
        <v>2053.9</v>
      </c>
      <c r="R46" s="8">
        <v>2081.6</v>
      </c>
      <c r="S46" s="8">
        <v>2109.3000000000002</v>
      </c>
      <c r="T46" s="8">
        <v>2137</v>
      </c>
      <c r="U46" s="8">
        <v>2168.9</v>
      </c>
      <c r="V46" s="8">
        <v>2200.8000000000002</v>
      </c>
      <c r="W46" s="8">
        <v>2232.6999999999998</v>
      </c>
      <c r="X46" s="8">
        <v>2264.6</v>
      </c>
      <c r="Y46" s="8">
        <v>2296.5</v>
      </c>
      <c r="Z46" s="8">
        <v>2328.4</v>
      </c>
      <c r="AA46" s="8">
        <v>2360.3000000000002</v>
      </c>
      <c r="AB46" s="8">
        <v>2392.1999999999998</v>
      </c>
      <c r="AC46" s="8">
        <v>2424.1</v>
      </c>
      <c r="AD46" s="8">
        <v>2456</v>
      </c>
      <c r="AE46" s="8">
        <v>2492.6</v>
      </c>
      <c r="AF46" s="8">
        <v>2529.1999999999998</v>
      </c>
      <c r="AG46" s="8">
        <v>2565.8000000000002</v>
      </c>
      <c r="AH46" s="8">
        <v>2602.4</v>
      </c>
      <c r="AI46" s="8">
        <v>2639</v>
      </c>
      <c r="AJ46" s="8">
        <v>2675.6</v>
      </c>
      <c r="AK46" s="8">
        <v>2712.2</v>
      </c>
      <c r="AL46" s="8">
        <v>2748.8</v>
      </c>
      <c r="AM46" s="8">
        <v>2785.4</v>
      </c>
      <c r="AN46" s="8">
        <v>2822</v>
      </c>
    </row>
    <row r="47" spans="1:40" x14ac:dyDescent="0.25">
      <c r="A47" s="8" t="s">
        <v>195</v>
      </c>
      <c r="B47" s="8">
        <v>155288</v>
      </c>
      <c r="C47" s="8">
        <v>157571.5</v>
      </c>
      <c r="D47" s="8">
        <v>159855</v>
      </c>
      <c r="E47" s="8">
        <v>162138.5</v>
      </c>
      <c r="F47" s="8">
        <v>164422</v>
      </c>
      <c r="G47" s="8">
        <v>166705.5</v>
      </c>
      <c r="H47" s="8">
        <v>168989</v>
      </c>
      <c r="I47" s="8">
        <v>171272.5</v>
      </c>
      <c r="J47" s="8">
        <v>173556</v>
      </c>
      <c r="K47" s="8">
        <v>176144.8</v>
      </c>
      <c r="L47" s="8">
        <v>178733.6</v>
      </c>
      <c r="M47" s="8">
        <v>181322.4</v>
      </c>
      <c r="N47" s="8">
        <v>183911.2</v>
      </c>
      <c r="O47" s="8">
        <v>186500</v>
      </c>
      <c r="P47" s="8">
        <v>189088.8</v>
      </c>
      <c r="Q47" s="8">
        <v>191677.6</v>
      </c>
      <c r="R47" s="8">
        <v>194266.4</v>
      </c>
      <c r="S47" s="8">
        <v>196855.2</v>
      </c>
      <c r="T47" s="8">
        <v>199444</v>
      </c>
      <c r="U47" s="8">
        <v>202412.5</v>
      </c>
      <c r="V47" s="8">
        <v>205381</v>
      </c>
      <c r="W47" s="8">
        <v>208349.5</v>
      </c>
      <c r="X47" s="8">
        <v>211318</v>
      </c>
      <c r="Y47" s="8">
        <v>214286.5</v>
      </c>
      <c r="Z47" s="8">
        <v>217255</v>
      </c>
      <c r="AA47" s="8">
        <v>220223.5</v>
      </c>
      <c r="AB47" s="8">
        <v>223192</v>
      </c>
      <c r="AC47" s="8">
        <v>226160.5</v>
      </c>
      <c r="AD47" s="8">
        <v>229129</v>
      </c>
      <c r="AE47" s="8">
        <v>232553.9</v>
      </c>
      <c r="AF47" s="8">
        <v>235978.8</v>
      </c>
      <c r="AG47" s="8">
        <v>239403.7</v>
      </c>
      <c r="AH47" s="8">
        <v>242828.6</v>
      </c>
      <c r="AI47" s="8">
        <v>246253.5</v>
      </c>
      <c r="AJ47" s="8">
        <v>249678.4</v>
      </c>
      <c r="AK47" s="8">
        <v>253103.3</v>
      </c>
      <c r="AL47" s="8">
        <v>256528.2</v>
      </c>
      <c r="AM47" s="8">
        <v>259953.1</v>
      </c>
      <c r="AN47" s="8">
        <v>263378</v>
      </c>
    </row>
    <row r="48" spans="1:40" x14ac:dyDescent="0.25">
      <c r="A48" s="8" t="s">
        <v>196</v>
      </c>
      <c r="B48" s="8">
        <v>128</v>
      </c>
      <c r="C48" s="8">
        <v>147</v>
      </c>
      <c r="D48" s="8">
        <v>166</v>
      </c>
      <c r="E48" s="8">
        <v>185</v>
      </c>
      <c r="F48" s="8">
        <v>204</v>
      </c>
      <c r="G48" s="8">
        <v>223</v>
      </c>
      <c r="H48" s="8">
        <v>242</v>
      </c>
      <c r="I48" s="8">
        <v>261</v>
      </c>
      <c r="J48" s="8">
        <v>280</v>
      </c>
      <c r="K48" s="8">
        <v>311</v>
      </c>
      <c r="L48" s="8">
        <v>342</v>
      </c>
      <c r="M48" s="8">
        <v>373</v>
      </c>
      <c r="N48" s="8">
        <v>404</v>
      </c>
      <c r="O48" s="8">
        <v>435</v>
      </c>
      <c r="P48" s="8">
        <v>466</v>
      </c>
      <c r="Q48" s="8">
        <v>497</v>
      </c>
      <c r="R48" s="8">
        <v>528</v>
      </c>
      <c r="S48" s="8">
        <v>559</v>
      </c>
      <c r="T48" s="8">
        <v>590</v>
      </c>
      <c r="U48" s="8">
        <v>621</v>
      </c>
      <c r="V48" s="8">
        <v>652</v>
      </c>
      <c r="W48" s="8">
        <v>683</v>
      </c>
      <c r="X48" s="8">
        <v>714</v>
      </c>
      <c r="Y48" s="8">
        <v>745</v>
      </c>
      <c r="Z48" s="8">
        <v>776</v>
      </c>
      <c r="AA48" s="8">
        <v>807</v>
      </c>
      <c r="AB48" s="8">
        <v>838</v>
      </c>
      <c r="AC48" s="8">
        <v>869</v>
      </c>
      <c r="AD48" s="8">
        <v>900</v>
      </c>
      <c r="AE48" s="8">
        <v>915</v>
      </c>
      <c r="AF48" s="8">
        <v>930</v>
      </c>
      <c r="AG48" s="8">
        <v>945</v>
      </c>
      <c r="AH48" s="8">
        <v>960</v>
      </c>
      <c r="AI48" s="8">
        <v>975</v>
      </c>
      <c r="AJ48" s="8">
        <v>990</v>
      </c>
      <c r="AK48" s="8">
        <v>1005</v>
      </c>
      <c r="AL48" s="8">
        <v>1020</v>
      </c>
      <c r="AM48" s="8">
        <v>1035</v>
      </c>
      <c r="AN48" s="8">
        <v>1050</v>
      </c>
    </row>
    <row r="50" spans="1:40" x14ac:dyDescent="0.25">
      <c r="A50" s="8" t="s">
        <v>244</v>
      </c>
      <c r="B50" s="8">
        <v>2022</v>
      </c>
      <c r="C50" s="8">
        <v>2023</v>
      </c>
      <c r="D50" s="8">
        <v>2024</v>
      </c>
      <c r="E50" s="8">
        <v>2025</v>
      </c>
      <c r="F50" s="8">
        <v>2026</v>
      </c>
      <c r="G50" s="8">
        <v>2027</v>
      </c>
      <c r="H50" s="8">
        <v>2028</v>
      </c>
      <c r="I50" s="8">
        <v>2029</v>
      </c>
      <c r="J50" s="8">
        <v>2030</v>
      </c>
      <c r="K50" s="8">
        <v>2031</v>
      </c>
      <c r="L50" s="8">
        <v>2032</v>
      </c>
      <c r="M50" s="8">
        <v>2033</v>
      </c>
      <c r="N50" s="8">
        <v>2034</v>
      </c>
      <c r="O50" s="8">
        <v>2035</v>
      </c>
      <c r="P50" s="8">
        <v>2036</v>
      </c>
      <c r="Q50" s="8">
        <v>2037</v>
      </c>
      <c r="R50" s="8">
        <v>2038</v>
      </c>
      <c r="S50" s="8">
        <v>2039</v>
      </c>
      <c r="T50" s="8">
        <v>2040</v>
      </c>
      <c r="U50" s="8">
        <v>2041</v>
      </c>
      <c r="V50" s="8">
        <v>2042</v>
      </c>
      <c r="W50" s="8">
        <v>2043</v>
      </c>
      <c r="X50" s="8">
        <v>2044</v>
      </c>
      <c r="Y50" s="8">
        <v>2045</v>
      </c>
      <c r="Z50" s="8">
        <v>2046</v>
      </c>
      <c r="AA50" s="8">
        <v>2047</v>
      </c>
      <c r="AB50" s="8">
        <v>2048</v>
      </c>
      <c r="AC50" s="8">
        <v>2049</v>
      </c>
      <c r="AD50" s="8">
        <v>2050</v>
      </c>
      <c r="AE50" s="8">
        <v>2051</v>
      </c>
      <c r="AF50" s="8">
        <v>2052</v>
      </c>
      <c r="AG50" s="8">
        <v>2053</v>
      </c>
      <c r="AH50" s="8">
        <v>2054</v>
      </c>
      <c r="AI50" s="8">
        <v>2055</v>
      </c>
      <c r="AJ50" s="8">
        <v>2056</v>
      </c>
      <c r="AK50" s="8">
        <v>2057</v>
      </c>
      <c r="AL50" s="8">
        <v>2058</v>
      </c>
      <c r="AM50" s="8">
        <v>2059</v>
      </c>
      <c r="AN50" s="8">
        <v>2060</v>
      </c>
    </row>
    <row r="51" spans="1:40" x14ac:dyDescent="0.25">
      <c r="A51" s="8" t="s">
        <v>194</v>
      </c>
      <c r="B51" s="8">
        <v>355</v>
      </c>
      <c r="C51" s="8">
        <v>360.25</v>
      </c>
      <c r="D51" s="8">
        <v>365.5</v>
      </c>
      <c r="E51" s="8">
        <v>370.75</v>
      </c>
      <c r="F51" s="8">
        <v>376</v>
      </c>
      <c r="G51" s="8">
        <v>381.25</v>
      </c>
      <c r="H51" s="8">
        <v>386.5</v>
      </c>
      <c r="I51" s="8">
        <v>391.75</v>
      </c>
      <c r="J51" s="8">
        <v>397</v>
      </c>
      <c r="K51" s="8">
        <v>402.9</v>
      </c>
      <c r="L51" s="8">
        <v>408.8</v>
      </c>
      <c r="M51" s="8">
        <v>414.7</v>
      </c>
      <c r="N51" s="8">
        <v>420.6</v>
      </c>
      <c r="O51" s="8">
        <v>426.5</v>
      </c>
      <c r="P51" s="8">
        <v>432.4</v>
      </c>
      <c r="Q51" s="8">
        <v>438.3</v>
      </c>
      <c r="R51" s="8">
        <v>444.2</v>
      </c>
      <c r="S51" s="8">
        <v>450.1</v>
      </c>
      <c r="T51" s="8">
        <v>456</v>
      </c>
      <c r="U51" s="8">
        <v>462.8</v>
      </c>
      <c r="V51" s="8">
        <v>469.6</v>
      </c>
      <c r="W51" s="8">
        <v>476.4</v>
      </c>
      <c r="X51" s="8">
        <v>483.2</v>
      </c>
      <c r="Y51" s="8">
        <v>490</v>
      </c>
      <c r="Z51" s="8">
        <v>496.8</v>
      </c>
      <c r="AA51" s="8">
        <v>503.6</v>
      </c>
      <c r="AB51" s="8">
        <v>510.4</v>
      </c>
      <c r="AC51" s="8">
        <v>517.20000000000005</v>
      </c>
      <c r="AD51" s="8">
        <v>524</v>
      </c>
      <c r="AE51" s="8">
        <v>531.79999999999995</v>
      </c>
      <c r="AF51" s="8">
        <v>539.6</v>
      </c>
      <c r="AG51" s="8">
        <v>547.4</v>
      </c>
      <c r="AH51" s="8">
        <v>555.20000000000005</v>
      </c>
      <c r="AI51" s="8">
        <v>563</v>
      </c>
      <c r="AJ51" s="8">
        <v>570.79999999999995</v>
      </c>
      <c r="AK51" s="8">
        <v>578.6</v>
      </c>
      <c r="AL51" s="8">
        <v>586.4</v>
      </c>
      <c r="AM51" s="8">
        <v>594.20000000000005</v>
      </c>
      <c r="AN51" s="8">
        <v>602</v>
      </c>
    </row>
    <row r="52" spans="1:40" x14ac:dyDescent="0.25">
      <c r="A52" s="8" t="s">
        <v>195</v>
      </c>
      <c r="B52" s="8">
        <v>9872</v>
      </c>
      <c r="C52" s="8">
        <v>10017.125</v>
      </c>
      <c r="D52" s="8">
        <v>10162.25</v>
      </c>
      <c r="E52" s="8">
        <v>10307.375</v>
      </c>
      <c r="F52" s="8">
        <v>10452.5</v>
      </c>
      <c r="G52" s="8">
        <v>10597.625</v>
      </c>
      <c r="H52" s="8">
        <v>10742.75</v>
      </c>
      <c r="I52" s="8">
        <v>10887.875</v>
      </c>
      <c r="J52" s="8">
        <v>11033</v>
      </c>
      <c r="K52" s="8">
        <v>11197.6</v>
      </c>
      <c r="L52" s="8">
        <v>11362.2</v>
      </c>
      <c r="M52" s="8">
        <v>11526.8</v>
      </c>
      <c r="N52" s="8">
        <v>11691.4</v>
      </c>
      <c r="O52" s="8">
        <v>11856</v>
      </c>
      <c r="P52" s="8">
        <v>12020.6</v>
      </c>
      <c r="Q52" s="8">
        <v>12185.2</v>
      </c>
      <c r="R52" s="8">
        <v>12349.8</v>
      </c>
      <c r="S52" s="8">
        <v>12514.4</v>
      </c>
      <c r="T52" s="8">
        <v>12679</v>
      </c>
      <c r="U52" s="8">
        <v>12868.1</v>
      </c>
      <c r="V52" s="8">
        <v>13057.2</v>
      </c>
      <c r="W52" s="8">
        <v>13246.3</v>
      </c>
      <c r="X52" s="8">
        <v>13435.4</v>
      </c>
      <c r="Y52" s="8">
        <v>13624.5</v>
      </c>
      <c r="Z52" s="8">
        <v>13813.6</v>
      </c>
      <c r="AA52" s="8">
        <v>14002.7</v>
      </c>
      <c r="AB52" s="8">
        <v>14191.8</v>
      </c>
      <c r="AC52" s="8">
        <v>14380.9</v>
      </c>
      <c r="AD52" s="8">
        <v>14570</v>
      </c>
      <c r="AE52" s="8">
        <v>14787.3</v>
      </c>
      <c r="AF52" s="8">
        <v>15004.6</v>
      </c>
      <c r="AG52" s="8">
        <v>15221.9</v>
      </c>
      <c r="AH52" s="8">
        <v>15439.2</v>
      </c>
      <c r="AI52" s="8">
        <v>15656.5</v>
      </c>
      <c r="AJ52" s="8">
        <v>15873.8</v>
      </c>
      <c r="AK52" s="8">
        <v>16091.1</v>
      </c>
      <c r="AL52" s="8">
        <v>16308.4</v>
      </c>
      <c r="AM52" s="8">
        <v>16525.7</v>
      </c>
      <c r="AN52" s="8">
        <v>16743</v>
      </c>
    </row>
    <row r="53" spans="1:40" x14ac:dyDescent="0.25">
      <c r="A53" s="8" t="s">
        <v>196</v>
      </c>
      <c r="B53" s="8">
        <v>128</v>
      </c>
      <c r="C53" s="8">
        <v>147</v>
      </c>
      <c r="D53" s="8">
        <v>166</v>
      </c>
      <c r="E53" s="8">
        <v>185</v>
      </c>
      <c r="F53" s="8">
        <v>204</v>
      </c>
      <c r="G53" s="8">
        <v>223</v>
      </c>
      <c r="H53" s="8">
        <v>242</v>
      </c>
      <c r="I53" s="8">
        <v>261</v>
      </c>
      <c r="J53" s="8">
        <v>280</v>
      </c>
      <c r="K53" s="8">
        <v>311</v>
      </c>
      <c r="L53" s="8">
        <v>342</v>
      </c>
      <c r="M53" s="8">
        <v>373</v>
      </c>
      <c r="N53" s="8">
        <v>404</v>
      </c>
      <c r="O53" s="8">
        <v>435</v>
      </c>
      <c r="P53" s="8">
        <v>466</v>
      </c>
      <c r="Q53" s="8">
        <v>497</v>
      </c>
      <c r="R53" s="8">
        <v>528</v>
      </c>
      <c r="S53" s="8">
        <v>559</v>
      </c>
      <c r="T53" s="8">
        <v>590</v>
      </c>
      <c r="U53" s="8">
        <v>621</v>
      </c>
      <c r="V53" s="8">
        <v>652</v>
      </c>
      <c r="W53" s="8">
        <v>683</v>
      </c>
      <c r="X53" s="8">
        <v>714</v>
      </c>
      <c r="Y53" s="8">
        <v>745</v>
      </c>
      <c r="Z53" s="8">
        <v>776</v>
      </c>
      <c r="AA53" s="8">
        <v>807</v>
      </c>
      <c r="AB53" s="8">
        <v>838</v>
      </c>
      <c r="AC53" s="8">
        <v>869</v>
      </c>
      <c r="AD53" s="8">
        <v>900</v>
      </c>
      <c r="AE53" s="8">
        <v>915</v>
      </c>
      <c r="AF53" s="8">
        <v>930</v>
      </c>
      <c r="AG53" s="8">
        <v>945</v>
      </c>
      <c r="AH53" s="8">
        <v>960</v>
      </c>
      <c r="AI53" s="8">
        <v>975</v>
      </c>
      <c r="AJ53" s="8">
        <v>990</v>
      </c>
      <c r="AK53" s="8">
        <v>1005</v>
      </c>
      <c r="AL53" s="8">
        <v>1020</v>
      </c>
      <c r="AM53" s="8">
        <v>1035</v>
      </c>
      <c r="AN53" s="8">
        <v>1050</v>
      </c>
    </row>
    <row r="55" spans="1:40" x14ac:dyDescent="0.25">
      <c r="A55" t="s">
        <v>248</v>
      </c>
    </row>
    <row r="56" spans="1:40" x14ac:dyDescent="0.25">
      <c r="A56" s="277" t="s">
        <v>249</v>
      </c>
      <c r="B56" s="280">
        <v>2022</v>
      </c>
      <c r="C56" s="280">
        <v>2023</v>
      </c>
      <c r="D56" s="280">
        <v>2024</v>
      </c>
      <c r="E56" s="280">
        <v>2025</v>
      </c>
      <c r="F56" s="280">
        <v>2026</v>
      </c>
      <c r="G56" s="280">
        <v>2027</v>
      </c>
      <c r="H56" s="280">
        <v>2028</v>
      </c>
      <c r="I56" s="280">
        <v>2029</v>
      </c>
      <c r="J56" s="280">
        <v>2030</v>
      </c>
      <c r="K56" s="280">
        <v>2031</v>
      </c>
      <c r="L56" s="280">
        <v>2032</v>
      </c>
      <c r="M56" s="280">
        <v>2033</v>
      </c>
      <c r="N56" s="280">
        <v>2034</v>
      </c>
      <c r="O56" s="280">
        <v>2035</v>
      </c>
      <c r="P56" s="280">
        <v>2036</v>
      </c>
      <c r="Q56" s="280">
        <v>2037</v>
      </c>
      <c r="R56" s="280">
        <v>2038</v>
      </c>
      <c r="S56" s="280">
        <v>2039</v>
      </c>
      <c r="T56" s="280">
        <v>2040</v>
      </c>
      <c r="U56" s="280">
        <v>2041</v>
      </c>
      <c r="V56" s="280">
        <v>2042</v>
      </c>
      <c r="W56" s="280">
        <v>2043</v>
      </c>
      <c r="X56" s="280">
        <v>2044</v>
      </c>
      <c r="Y56" s="280">
        <v>2045</v>
      </c>
      <c r="Z56" s="280">
        <v>2046</v>
      </c>
      <c r="AA56" s="280">
        <v>2047</v>
      </c>
      <c r="AB56" s="280">
        <v>2048</v>
      </c>
      <c r="AC56" s="280">
        <v>2049</v>
      </c>
      <c r="AD56" s="280">
        <v>2050</v>
      </c>
      <c r="AE56" s="280">
        <v>2051</v>
      </c>
      <c r="AF56" s="280">
        <v>2052</v>
      </c>
      <c r="AG56" s="280">
        <v>2053</v>
      </c>
      <c r="AH56" s="280">
        <v>2054</v>
      </c>
      <c r="AI56" s="280">
        <v>2055</v>
      </c>
      <c r="AJ56" s="280">
        <v>2056</v>
      </c>
      <c r="AK56" s="280">
        <v>2057</v>
      </c>
      <c r="AL56" s="280">
        <v>2058</v>
      </c>
      <c r="AM56" s="280">
        <v>2059</v>
      </c>
      <c r="AN56" s="280">
        <v>2060</v>
      </c>
    </row>
    <row r="57" spans="1:40" x14ac:dyDescent="0.25">
      <c r="A57" s="277" t="s">
        <v>194</v>
      </c>
      <c r="B57" s="291">
        <v>0.33562362820879854</v>
      </c>
      <c r="C57" s="291">
        <v>0.33562362820879854</v>
      </c>
      <c r="D57" s="291">
        <v>0.33562362820879854</v>
      </c>
      <c r="E57" s="291">
        <v>0.33562362820879854</v>
      </c>
      <c r="F57" s="291">
        <v>0.33562362820879854</v>
      </c>
      <c r="G57" s="291">
        <v>0.33562362820879854</v>
      </c>
      <c r="H57" s="291">
        <v>0.33562362820879854</v>
      </c>
      <c r="I57" s="291">
        <v>0.33562362820879854</v>
      </c>
      <c r="J57" s="291">
        <v>0.33562362820879854</v>
      </c>
      <c r="K57" s="291">
        <v>0.33562362820879854</v>
      </c>
      <c r="L57" s="291">
        <v>0.33562362820879854</v>
      </c>
      <c r="M57" s="291">
        <v>0.33562362820879854</v>
      </c>
      <c r="N57" s="291">
        <v>0.33562362820879854</v>
      </c>
      <c r="O57" s="291">
        <v>0.33562362820879854</v>
      </c>
      <c r="P57" s="291">
        <v>0.33562362820879854</v>
      </c>
      <c r="Q57" s="291">
        <v>0.33562362820879854</v>
      </c>
      <c r="R57" s="291">
        <v>0.33562362820879854</v>
      </c>
      <c r="S57" s="291">
        <v>0.33562362820879854</v>
      </c>
      <c r="T57" s="291">
        <v>0.33562362820879854</v>
      </c>
      <c r="U57" s="291">
        <v>0.33562362820879854</v>
      </c>
      <c r="V57" s="291">
        <v>0.33562362820879854</v>
      </c>
      <c r="W57" s="291">
        <v>0.33562362820879854</v>
      </c>
      <c r="X57" s="291">
        <v>0.33562362820879854</v>
      </c>
      <c r="Y57" s="291">
        <v>0.33562362820879854</v>
      </c>
      <c r="Z57" s="291">
        <v>0.33562362820879854</v>
      </c>
      <c r="AA57" s="291">
        <v>0.33562362820879854</v>
      </c>
      <c r="AB57" s="291">
        <v>0.33562362820879854</v>
      </c>
      <c r="AC57" s="291">
        <v>0.33562362820879854</v>
      </c>
      <c r="AD57" s="291">
        <v>0.33562362820879854</v>
      </c>
      <c r="AE57" s="291">
        <v>0.33562362820879854</v>
      </c>
      <c r="AF57" s="291">
        <v>0.33562362820879854</v>
      </c>
      <c r="AG57" s="291">
        <v>0.33562362820879854</v>
      </c>
      <c r="AH57" s="291">
        <v>0.33562362820879854</v>
      </c>
      <c r="AI57" s="291">
        <v>0.33562362820879854</v>
      </c>
      <c r="AJ57" s="291">
        <v>0.33562362820879854</v>
      </c>
      <c r="AK57" s="291">
        <v>0.33562362820879854</v>
      </c>
      <c r="AL57" s="291">
        <v>0.33562362820879854</v>
      </c>
      <c r="AM57" s="291">
        <v>0.33562362820879854</v>
      </c>
      <c r="AN57" s="291">
        <v>0.33562362820879854</v>
      </c>
    </row>
    <row r="58" spans="1:40" x14ac:dyDescent="0.25">
      <c r="A58" s="277" t="s">
        <v>195</v>
      </c>
      <c r="B58" s="291">
        <v>7.9206031109838732E-3</v>
      </c>
      <c r="C58" s="291">
        <v>7.9206031109838732E-3</v>
      </c>
      <c r="D58" s="291">
        <v>7.9206031109838732E-3</v>
      </c>
      <c r="E58" s="291">
        <v>7.9206031109838732E-3</v>
      </c>
      <c r="F58" s="291">
        <v>7.9206031109838732E-3</v>
      </c>
      <c r="G58" s="291">
        <v>7.9206031109838732E-3</v>
      </c>
      <c r="H58" s="291">
        <v>7.9206031109838732E-3</v>
      </c>
      <c r="I58" s="291">
        <v>7.9206031109838732E-3</v>
      </c>
      <c r="J58" s="291">
        <v>7.9206031109838732E-3</v>
      </c>
      <c r="K58" s="291">
        <v>7.9206031109838732E-3</v>
      </c>
      <c r="L58" s="291">
        <v>7.9206031109838732E-3</v>
      </c>
      <c r="M58" s="291">
        <v>7.9206031109838732E-3</v>
      </c>
      <c r="N58" s="291">
        <v>7.9206031109838732E-3</v>
      </c>
      <c r="O58" s="291">
        <v>7.9206031109838732E-3</v>
      </c>
      <c r="P58" s="291">
        <v>7.9206031109838732E-3</v>
      </c>
      <c r="Q58" s="291">
        <v>7.9206031109838732E-3</v>
      </c>
      <c r="R58" s="291">
        <v>7.9206031109838732E-3</v>
      </c>
      <c r="S58" s="291">
        <v>7.9206031109838732E-3</v>
      </c>
      <c r="T58" s="291">
        <v>7.9206031109838732E-3</v>
      </c>
      <c r="U58" s="291">
        <v>7.9206031109838732E-3</v>
      </c>
      <c r="V58" s="291">
        <v>7.9206031109838732E-3</v>
      </c>
      <c r="W58" s="291">
        <v>7.9206031109838732E-3</v>
      </c>
      <c r="X58" s="291">
        <v>7.9206031109838732E-3</v>
      </c>
      <c r="Y58" s="291">
        <v>7.9206031109838732E-3</v>
      </c>
      <c r="Z58" s="291">
        <v>7.9206031109838732E-3</v>
      </c>
      <c r="AA58" s="291">
        <v>7.9206031109838732E-3</v>
      </c>
      <c r="AB58" s="291">
        <v>7.9206031109838732E-3</v>
      </c>
      <c r="AC58" s="291">
        <v>7.9206031109838732E-3</v>
      </c>
      <c r="AD58" s="291">
        <v>7.9206031109838732E-3</v>
      </c>
      <c r="AE58" s="291">
        <v>7.9206031109838732E-3</v>
      </c>
      <c r="AF58" s="291">
        <v>7.9206031109838732E-3</v>
      </c>
      <c r="AG58" s="291">
        <v>7.9206031109838732E-3</v>
      </c>
      <c r="AH58" s="291">
        <v>7.9206031109838732E-3</v>
      </c>
      <c r="AI58" s="291">
        <v>7.9206031109838732E-3</v>
      </c>
      <c r="AJ58" s="291">
        <v>7.9206031109838732E-3</v>
      </c>
      <c r="AK58" s="291">
        <v>7.9206031109838732E-3</v>
      </c>
      <c r="AL58" s="291">
        <v>7.9206031109838732E-3</v>
      </c>
      <c r="AM58" s="291">
        <v>7.9206031109838732E-3</v>
      </c>
      <c r="AN58" s="291">
        <v>7.9206031109838732E-3</v>
      </c>
    </row>
    <row r="59" spans="1:40" x14ac:dyDescent="0.25">
      <c r="A59" s="277" t="s">
        <v>196</v>
      </c>
      <c r="B59" s="291">
        <v>146.71386517558423</v>
      </c>
      <c r="C59" s="291">
        <v>145.54423190788367</v>
      </c>
      <c r="D59" s="291">
        <v>127.09608245627034</v>
      </c>
      <c r="E59" s="291">
        <v>120.88144106006929</v>
      </c>
      <c r="F59" s="291">
        <v>115.25816460459998</v>
      </c>
      <c r="G59" s="291">
        <v>108.51682449650096</v>
      </c>
      <c r="H59" s="291">
        <v>101.33531534551062</v>
      </c>
      <c r="I59" s="291">
        <v>93.737250627252578</v>
      </c>
      <c r="J59" s="291">
        <v>84.973731943960971</v>
      </c>
      <c r="K59" s="291">
        <v>77.528661432937881</v>
      </c>
      <c r="L59" s="291">
        <v>70.39169652266385</v>
      </c>
      <c r="M59" s="291">
        <v>63.677559543581225</v>
      </c>
      <c r="N59" s="291">
        <v>57.272475239352651</v>
      </c>
      <c r="O59" s="291">
        <v>51.302168897729622</v>
      </c>
      <c r="P59" s="291">
        <v>45.863533611720278</v>
      </c>
      <c r="Q59" s="291">
        <v>40.765105511845057</v>
      </c>
      <c r="R59" s="291">
        <v>36.147822596960886</v>
      </c>
      <c r="S59" s="291">
        <v>32.013346137861696</v>
      </c>
      <c r="T59" s="291">
        <v>28.331113317326654</v>
      </c>
      <c r="U59" s="291">
        <v>24.925395022925741</v>
      </c>
      <c r="V59" s="291">
        <v>21.905337546125175</v>
      </c>
      <c r="W59" s="291">
        <v>19.310483030663278</v>
      </c>
      <c r="X59" s="291">
        <v>16.988347969242632</v>
      </c>
      <c r="Y59" s="291">
        <v>14.908274190201995</v>
      </c>
      <c r="Z59" s="291">
        <v>13.057954020115744</v>
      </c>
      <c r="AA59" s="291">
        <v>11.408647956184575</v>
      </c>
      <c r="AB59" s="291">
        <v>9.9424841757092501</v>
      </c>
      <c r="AC59" s="291">
        <v>8.6418016464339171</v>
      </c>
      <c r="AD59" s="291">
        <v>7.4491013771970112</v>
      </c>
      <c r="AE59" s="291">
        <v>6.3617696204289489</v>
      </c>
      <c r="AF59" s="291">
        <v>5.4133251823821027</v>
      </c>
      <c r="AG59" s="291">
        <v>4.5895236100444876</v>
      </c>
      <c r="AH59" s="291">
        <v>3.8767171023839948</v>
      </c>
      <c r="AI59" s="291">
        <v>3.2626454389804174</v>
      </c>
      <c r="AJ59" s="291">
        <v>2.7357728650230886</v>
      </c>
      <c r="AK59" s="291">
        <v>2.2863606962176348</v>
      </c>
      <c r="AL59" s="291">
        <v>1.9042692302595108</v>
      </c>
      <c r="AM59" s="291">
        <v>1.5810663163914116</v>
      </c>
      <c r="AN59" s="291">
        <v>1.3092085931881834</v>
      </c>
    </row>
    <row r="60" spans="1:40" x14ac:dyDescent="0.25">
      <c r="A60" s="277"/>
      <c r="B60" s="279"/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  <c r="AA60" s="279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</row>
    <row r="61" spans="1:40" x14ac:dyDescent="0.25">
      <c r="A61" s="277" t="s">
        <v>250</v>
      </c>
      <c r="B61" s="280">
        <v>2022</v>
      </c>
      <c r="C61" s="280">
        <v>2023</v>
      </c>
      <c r="D61" s="280">
        <v>2024</v>
      </c>
      <c r="E61" s="280">
        <v>2025</v>
      </c>
      <c r="F61" s="280">
        <v>2026</v>
      </c>
      <c r="G61" s="280">
        <v>2027</v>
      </c>
      <c r="H61" s="280">
        <v>2028</v>
      </c>
      <c r="I61" s="280">
        <v>2029</v>
      </c>
      <c r="J61" s="280">
        <v>2030</v>
      </c>
      <c r="K61" s="280">
        <v>2031</v>
      </c>
      <c r="L61" s="280">
        <v>2032</v>
      </c>
      <c r="M61" s="280">
        <v>2033</v>
      </c>
      <c r="N61" s="280">
        <v>2034</v>
      </c>
      <c r="O61" s="280">
        <v>2035</v>
      </c>
      <c r="P61" s="280">
        <v>2036</v>
      </c>
      <c r="Q61" s="280">
        <v>2037</v>
      </c>
      <c r="R61" s="280">
        <v>2038</v>
      </c>
      <c r="S61" s="280">
        <v>2039</v>
      </c>
      <c r="T61" s="280">
        <v>2040</v>
      </c>
      <c r="U61" s="280">
        <v>2041</v>
      </c>
      <c r="V61" s="280">
        <v>2042</v>
      </c>
      <c r="W61" s="280">
        <v>2043</v>
      </c>
      <c r="X61" s="280">
        <v>2044</v>
      </c>
      <c r="Y61" s="280">
        <v>2045</v>
      </c>
      <c r="Z61" s="280">
        <v>2046</v>
      </c>
      <c r="AA61" s="280">
        <v>2047</v>
      </c>
      <c r="AB61" s="280">
        <v>2048</v>
      </c>
      <c r="AC61" s="280">
        <v>2049</v>
      </c>
      <c r="AD61" s="280">
        <v>2050</v>
      </c>
      <c r="AE61" s="280">
        <v>2051</v>
      </c>
      <c r="AF61" s="280">
        <v>2052</v>
      </c>
      <c r="AG61" s="280">
        <v>2053</v>
      </c>
      <c r="AH61" s="280">
        <v>2054</v>
      </c>
      <c r="AI61" s="280">
        <v>2055</v>
      </c>
      <c r="AJ61" s="280">
        <v>2056</v>
      </c>
      <c r="AK61" s="280">
        <v>2057</v>
      </c>
      <c r="AL61" s="280">
        <v>2058</v>
      </c>
      <c r="AM61" s="280">
        <v>2059</v>
      </c>
      <c r="AN61" s="280">
        <v>2060</v>
      </c>
    </row>
    <row r="62" spans="1:40" x14ac:dyDescent="0.25">
      <c r="A62" s="277" t="s">
        <v>194</v>
      </c>
      <c r="B62" s="291">
        <v>0.25690221569860905</v>
      </c>
      <c r="C62" s="291">
        <v>0.25690221569860905</v>
      </c>
      <c r="D62" s="291">
        <v>0.25690221569860905</v>
      </c>
      <c r="E62" s="291">
        <v>0.25690221569860905</v>
      </c>
      <c r="F62" s="291">
        <v>0.25690221569860905</v>
      </c>
      <c r="G62" s="291">
        <v>0.25690221569860905</v>
      </c>
      <c r="H62" s="291">
        <v>0.25690221569860905</v>
      </c>
      <c r="I62" s="291">
        <v>0.25690221569860905</v>
      </c>
      <c r="J62" s="291">
        <v>0.25690221569860905</v>
      </c>
      <c r="K62" s="291">
        <v>0.25690221569860905</v>
      </c>
      <c r="L62" s="291">
        <v>0.25690221569860905</v>
      </c>
      <c r="M62" s="291">
        <v>0.25690221569860905</v>
      </c>
      <c r="N62" s="291">
        <v>0.25690221569860905</v>
      </c>
      <c r="O62" s="291">
        <v>0.25690221569860905</v>
      </c>
      <c r="P62" s="291">
        <v>0.25690221569860905</v>
      </c>
      <c r="Q62" s="291">
        <v>0.25690221569860905</v>
      </c>
      <c r="R62" s="291">
        <v>0.25690221569860905</v>
      </c>
      <c r="S62" s="291">
        <v>0.25690221569860905</v>
      </c>
      <c r="T62" s="291">
        <v>0.25690221569860905</v>
      </c>
      <c r="U62" s="291">
        <v>0.25690221569860905</v>
      </c>
      <c r="V62" s="291">
        <v>0.25690221569860905</v>
      </c>
      <c r="W62" s="291">
        <v>0.25690221569860905</v>
      </c>
      <c r="X62" s="291">
        <v>0.25690221569860905</v>
      </c>
      <c r="Y62" s="291">
        <v>0.25690221569860905</v>
      </c>
      <c r="Z62" s="291">
        <v>0.25690221569860905</v>
      </c>
      <c r="AA62" s="291">
        <v>0.25690221569860905</v>
      </c>
      <c r="AB62" s="291">
        <v>0.25690221569860905</v>
      </c>
      <c r="AC62" s="291">
        <v>0.25690221569860905</v>
      </c>
      <c r="AD62" s="291">
        <v>0.25690221569860905</v>
      </c>
      <c r="AE62" s="291">
        <v>0.25690221569860905</v>
      </c>
      <c r="AF62" s="291">
        <v>0.25690221569860905</v>
      </c>
      <c r="AG62" s="291">
        <v>0.25690221569860905</v>
      </c>
      <c r="AH62" s="291">
        <v>0.25690221569860905</v>
      </c>
      <c r="AI62" s="291">
        <v>0.25690221569860905</v>
      </c>
      <c r="AJ62" s="291">
        <v>0.25690221569860905</v>
      </c>
      <c r="AK62" s="291">
        <v>0.25690221569860905</v>
      </c>
      <c r="AL62" s="291">
        <v>0.25690221569860905</v>
      </c>
      <c r="AM62" s="291">
        <v>0.25690221569860905</v>
      </c>
      <c r="AN62" s="291">
        <v>0.25690221569860905</v>
      </c>
    </row>
    <row r="63" spans="1:40" x14ac:dyDescent="0.25">
      <c r="A63" s="277" t="s">
        <v>195</v>
      </c>
      <c r="B63" s="291">
        <v>5.1722932830083179E-3</v>
      </c>
      <c r="C63" s="291">
        <v>5.1722932830083179E-3</v>
      </c>
      <c r="D63" s="291">
        <v>5.1722932830083179E-3</v>
      </c>
      <c r="E63" s="291">
        <v>5.1722932830083179E-3</v>
      </c>
      <c r="F63" s="291">
        <v>5.1722932830083179E-3</v>
      </c>
      <c r="G63" s="291">
        <v>5.1722932830083179E-3</v>
      </c>
      <c r="H63" s="291">
        <v>5.1722932830083179E-3</v>
      </c>
      <c r="I63" s="291">
        <v>5.1722932830083179E-3</v>
      </c>
      <c r="J63" s="291">
        <v>5.1722932830083179E-3</v>
      </c>
      <c r="K63" s="291">
        <v>5.1722932830083179E-3</v>
      </c>
      <c r="L63" s="291">
        <v>5.1722932830083179E-3</v>
      </c>
      <c r="M63" s="291">
        <v>5.1722932830083179E-3</v>
      </c>
      <c r="N63" s="291">
        <v>5.1722932830083179E-3</v>
      </c>
      <c r="O63" s="291">
        <v>5.1722932830083179E-3</v>
      </c>
      <c r="P63" s="291">
        <v>5.1722932830083179E-3</v>
      </c>
      <c r="Q63" s="291">
        <v>5.1722932830083179E-3</v>
      </c>
      <c r="R63" s="291">
        <v>5.1722932830083179E-3</v>
      </c>
      <c r="S63" s="291">
        <v>5.1722932830083179E-3</v>
      </c>
      <c r="T63" s="291">
        <v>5.1722932830083179E-3</v>
      </c>
      <c r="U63" s="291">
        <v>5.1722932830083179E-3</v>
      </c>
      <c r="V63" s="291">
        <v>5.1722932830083179E-3</v>
      </c>
      <c r="W63" s="291">
        <v>5.1722932830083179E-3</v>
      </c>
      <c r="X63" s="291">
        <v>5.1722932830083179E-3</v>
      </c>
      <c r="Y63" s="291">
        <v>5.1722932830083179E-3</v>
      </c>
      <c r="Z63" s="291">
        <v>5.1722932830083179E-3</v>
      </c>
      <c r="AA63" s="291">
        <v>5.1722932830083179E-3</v>
      </c>
      <c r="AB63" s="291">
        <v>5.1722932830083179E-3</v>
      </c>
      <c r="AC63" s="291">
        <v>5.1722932830083179E-3</v>
      </c>
      <c r="AD63" s="291">
        <v>5.1722932830083179E-3</v>
      </c>
      <c r="AE63" s="291">
        <v>5.1722932830083179E-3</v>
      </c>
      <c r="AF63" s="291">
        <v>5.1722932830083179E-3</v>
      </c>
      <c r="AG63" s="291">
        <v>5.1722932830083179E-3</v>
      </c>
      <c r="AH63" s="291">
        <v>5.1722932830083179E-3</v>
      </c>
      <c r="AI63" s="291">
        <v>5.1722932830083179E-3</v>
      </c>
      <c r="AJ63" s="291">
        <v>5.1722932830083179E-3</v>
      </c>
      <c r="AK63" s="291">
        <v>5.1722932830083179E-3</v>
      </c>
      <c r="AL63" s="291">
        <v>5.1722932830083179E-3</v>
      </c>
      <c r="AM63" s="291">
        <v>5.1722932830083179E-3</v>
      </c>
      <c r="AN63" s="291">
        <v>5.1722932830083179E-3</v>
      </c>
    </row>
    <row r="64" spans="1:40" x14ac:dyDescent="0.25">
      <c r="A64" s="277" t="s">
        <v>196</v>
      </c>
      <c r="B64" s="291">
        <v>114.06178208173378</v>
      </c>
      <c r="C64" s="291">
        <v>113.15245797159365</v>
      </c>
      <c r="D64" s="291">
        <v>98.810058907654621</v>
      </c>
      <c r="E64" s="291">
        <v>93.978524602418616</v>
      </c>
      <c r="F64" s="291">
        <v>89.606743292714384</v>
      </c>
      <c r="G64" s="291">
        <v>84.365730349400536</v>
      </c>
      <c r="H64" s="291">
        <v>78.782510721058571</v>
      </c>
      <c r="I64" s="291">
        <v>72.875442557462236</v>
      </c>
      <c r="J64" s="291">
        <v>66.062299456593536</v>
      </c>
      <c r="K64" s="291">
        <v>60.274175687956166</v>
      </c>
      <c r="L64" s="291">
        <v>54.725586702542884</v>
      </c>
      <c r="M64" s="291">
        <v>49.505722662709246</v>
      </c>
      <c r="N64" s="291">
        <v>44.52612970297286</v>
      </c>
      <c r="O64" s="291">
        <v>39.884552166422978</v>
      </c>
      <c r="P64" s="291">
        <v>35.656318985650223</v>
      </c>
      <c r="Q64" s="291">
        <v>31.692577766022584</v>
      </c>
      <c r="R64" s="291">
        <v>28.102899878271888</v>
      </c>
      <c r="S64" s="291">
        <v>24.888576867045611</v>
      </c>
      <c r="T64" s="291">
        <v>22.02584786016255</v>
      </c>
      <c r="U64" s="291">
        <v>19.378093352005962</v>
      </c>
      <c r="V64" s="291">
        <v>17.030168448106267</v>
      </c>
      <c r="W64" s="291">
        <v>15.012814942204129</v>
      </c>
      <c r="X64" s="291">
        <v>13.207485479831041</v>
      </c>
      <c r="Y64" s="291">
        <v>11.590345056089106</v>
      </c>
      <c r="Z64" s="291">
        <v>10.151825146813772</v>
      </c>
      <c r="AA64" s="291">
        <v>8.8695824042818554</v>
      </c>
      <c r="AB64" s="291">
        <v>7.7297224910789284</v>
      </c>
      <c r="AC64" s="291">
        <v>6.7185149475098926</v>
      </c>
      <c r="AD64" s="291">
        <v>5.791257540476729</v>
      </c>
      <c r="AE64" s="291">
        <v>4.9459182281861072</v>
      </c>
      <c r="AF64" s="291">
        <v>4.2085559981087899</v>
      </c>
      <c r="AG64" s="291">
        <v>3.5680965888354521</v>
      </c>
      <c r="AH64" s="291">
        <v>3.0139296023280084</v>
      </c>
      <c r="AI64" s="291">
        <v>2.5365234064658679</v>
      </c>
      <c r="AJ64" s="291">
        <v>2.1269096004111967</v>
      </c>
      <c r="AK64" s="291">
        <v>1.777516904623248</v>
      </c>
      <c r="AL64" s="291">
        <v>1.4804622706031598</v>
      </c>
      <c r="AM64" s="291">
        <v>1.2291901751833771</v>
      </c>
      <c r="AN64" s="291">
        <v>1.0178360789353336</v>
      </c>
    </row>
    <row r="65" spans="1:40" x14ac:dyDescent="0.25">
      <c r="A65" s="277"/>
      <c r="B65" s="279"/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  <c r="AB65" s="279"/>
      <c r="AC65" s="279"/>
      <c r="AD65" s="279"/>
      <c r="AE65" s="279"/>
      <c r="AF65" s="279"/>
      <c r="AG65" s="279"/>
      <c r="AH65" s="279"/>
      <c r="AI65" s="279"/>
      <c r="AJ65" s="279"/>
      <c r="AK65" s="279"/>
      <c r="AL65" s="279"/>
      <c r="AM65" s="279"/>
      <c r="AN65" s="279"/>
    </row>
    <row r="66" spans="1:40" x14ac:dyDescent="0.25">
      <c r="A66" s="277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  <c r="AL66" s="278"/>
      <c r="AM66" s="278"/>
      <c r="AN66" s="278"/>
    </row>
    <row r="67" spans="1:40" x14ac:dyDescent="0.25">
      <c r="A67" s="277" t="s">
        <v>251</v>
      </c>
      <c r="B67" s="280">
        <v>2022</v>
      </c>
      <c r="C67" s="280">
        <v>2023</v>
      </c>
      <c r="D67" s="280">
        <v>2024</v>
      </c>
      <c r="E67" s="280">
        <v>2025</v>
      </c>
      <c r="F67" s="280">
        <v>2026</v>
      </c>
      <c r="G67" s="280">
        <v>2027</v>
      </c>
      <c r="H67" s="280">
        <v>2028</v>
      </c>
      <c r="I67" s="280">
        <v>2029</v>
      </c>
      <c r="J67" s="280">
        <v>2030</v>
      </c>
      <c r="K67" s="280">
        <v>2031</v>
      </c>
      <c r="L67" s="280">
        <v>2032</v>
      </c>
      <c r="M67" s="280">
        <v>2033</v>
      </c>
      <c r="N67" s="280">
        <v>2034</v>
      </c>
      <c r="O67" s="280">
        <v>2035</v>
      </c>
      <c r="P67" s="280">
        <v>2036</v>
      </c>
      <c r="Q67" s="280">
        <v>2037</v>
      </c>
      <c r="R67" s="280">
        <v>2038</v>
      </c>
      <c r="S67" s="280">
        <v>2039</v>
      </c>
      <c r="T67" s="280">
        <v>2040</v>
      </c>
      <c r="U67" s="280">
        <v>2041</v>
      </c>
      <c r="V67" s="280">
        <v>2042</v>
      </c>
      <c r="W67" s="280">
        <v>2043</v>
      </c>
      <c r="X67" s="280">
        <v>2044</v>
      </c>
      <c r="Y67" s="280">
        <v>2045</v>
      </c>
      <c r="Z67" s="280">
        <v>2046</v>
      </c>
      <c r="AA67" s="280">
        <v>2047</v>
      </c>
      <c r="AB67" s="280">
        <v>2048</v>
      </c>
      <c r="AC67" s="280">
        <v>2049</v>
      </c>
      <c r="AD67" s="280">
        <v>2050</v>
      </c>
      <c r="AE67" s="280">
        <v>2051</v>
      </c>
      <c r="AF67" s="280">
        <v>2052</v>
      </c>
      <c r="AG67" s="280">
        <v>2053</v>
      </c>
      <c r="AH67" s="280">
        <v>2054</v>
      </c>
      <c r="AI67" s="280">
        <v>2055</v>
      </c>
      <c r="AJ67" s="280">
        <v>2056</v>
      </c>
      <c r="AK67" s="280">
        <v>2057</v>
      </c>
      <c r="AL67" s="280">
        <v>2058</v>
      </c>
      <c r="AM67" s="280">
        <v>2059</v>
      </c>
      <c r="AN67" s="280">
        <v>2060</v>
      </c>
    </row>
    <row r="68" spans="1:40" x14ac:dyDescent="0.25">
      <c r="A68" s="277" t="s">
        <v>194</v>
      </c>
      <c r="B68" s="291">
        <v>0.81685467816854673</v>
      </c>
      <c r="C68" s="291">
        <v>0.81685467816854673</v>
      </c>
      <c r="D68" s="291">
        <v>0.81685467816854673</v>
      </c>
      <c r="E68" s="291">
        <v>0.81685467816854673</v>
      </c>
      <c r="F68" s="291">
        <v>0.81685467816854673</v>
      </c>
      <c r="G68" s="291">
        <v>0.81685467816854673</v>
      </c>
      <c r="H68" s="291">
        <v>0.81685467816854673</v>
      </c>
      <c r="I68" s="291">
        <v>0.81685467816854673</v>
      </c>
      <c r="J68" s="291">
        <v>0.81685467816854673</v>
      </c>
      <c r="K68" s="291">
        <v>0.81685467816854673</v>
      </c>
      <c r="L68" s="291">
        <v>0.81685467816854673</v>
      </c>
      <c r="M68" s="291">
        <v>0.81685467816854673</v>
      </c>
      <c r="N68" s="291">
        <v>0.81685467816854673</v>
      </c>
      <c r="O68" s="291">
        <v>0.81685467816854673</v>
      </c>
      <c r="P68" s="291">
        <v>0.81685467816854673</v>
      </c>
      <c r="Q68" s="291">
        <v>0.81685467816854673</v>
      </c>
      <c r="R68" s="291">
        <v>0.81685467816854673</v>
      </c>
      <c r="S68" s="291">
        <v>0.81685467816854673</v>
      </c>
      <c r="T68" s="291">
        <v>0.81685467816854673</v>
      </c>
      <c r="U68" s="291">
        <v>0.81685467816854673</v>
      </c>
      <c r="V68" s="291">
        <v>0.81685467816854673</v>
      </c>
      <c r="W68" s="291">
        <v>0.81685467816854673</v>
      </c>
      <c r="X68" s="291">
        <v>0.81685467816854673</v>
      </c>
      <c r="Y68" s="291">
        <v>0.81685467816854673</v>
      </c>
      <c r="Z68" s="291">
        <v>0.81685467816854673</v>
      </c>
      <c r="AA68" s="291">
        <v>0.81685467816854673</v>
      </c>
      <c r="AB68" s="291">
        <v>0.81685467816854673</v>
      </c>
      <c r="AC68" s="291">
        <v>0.81685467816854673</v>
      </c>
      <c r="AD68" s="291">
        <v>0.81685467816854673</v>
      </c>
      <c r="AE68" s="291">
        <v>0.81685467816854673</v>
      </c>
      <c r="AF68" s="291">
        <v>0.81685467816854673</v>
      </c>
      <c r="AG68" s="291">
        <v>0.81685467816854673</v>
      </c>
      <c r="AH68" s="291">
        <v>0.81685467816854673</v>
      </c>
      <c r="AI68" s="291">
        <v>0.81685467816854673</v>
      </c>
      <c r="AJ68" s="291">
        <v>0.81685467816854673</v>
      </c>
      <c r="AK68" s="291">
        <v>0.81685467816854673</v>
      </c>
      <c r="AL68" s="291">
        <v>0.81685467816854673</v>
      </c>
      <c r="AM68" s="291">
        <v>0.81685467816854673</v>
      </c>
      <c r="AN68" s="291">
        <v>0.81685467816854673</v>
      </c>
    </row>
    <row r="69" spans="1:40" x14ac:dyDescent="0.25">
      <c r="A69" s="277" t="s">
        <v>195</v>
      </c>
      <c r="B69" s="291">
        <v>4.1141340411413402E-2</v>
      </c>
      <c r="C69" s="291">
        <v>4.1141340411413402E-2</v>
      </c>
      <c r="D69" s="291">
        <v>4.1141340411413402E-2</v>
      </c>
      <c r="E69" s="291">
        <v>4.1141340411413402E-2</v>
      </c>
      <c r="F69" s="291">
        <v>4.1141340411413402E-2</v>
      </c>
      <c r="G69" s="291">
        <v>4.1141340411413402E-2</v>
      </c>
      <c r="H69" s="291">
        <v>4.1141340411413402E-2</v>
      </c>
      <c r="I69" s="291">
        <v>4.1141340411413402E-2</v>
      </c>
      <c r="J69" s="291">
        <v>4.1141340411413402E-2</v>
      </c>
      <c r="K69" s="291">
        <v>4.1141340411413402E-2</v>
      </c>
      <c r="L69" s="291">
        <v>4.1141340411413402E-2</v>
      </c>
      <c r="M69" s="291">
        <v>4.1141340411413402E-2</v>
      </c>
      <c r="N69" s="291">
        <v>4.1141340411413402E-2</v>
      </c>
      <c r="O69" s="291">
        <v>4.1141340411413402E-2</v>
      </c>
      <c r="P69" s="291">
        <v>4.1141340411413402E-2</v>
      </c>
      <c r="Q69" s="291">
        <v>4.1141340411413402E-2</v>
      </c>
      <c r="R69" s="291">
        <v>4.1141340411413402E-2</v>
      </c>
      <c r="S69" s="291">
        <v>4.1141340411413402E-2</v>
      </c>
      <c r="T69" s="291">
        <v>4.1141340411413402E-2</v>
      </c>
      <c r="U69" s="291">
        <v>4.1141340411413402E-2</v>
      </c>
      <c r="V69" s="291">
        <v>4.1141340411413402E-2</v>
      </c>
      <c r="W69" s="291">
        <v>4.1141340411413402E-2</v>
      </c>
      <c r="X69" s="291">
        <v>4.1141340411413402E-2</v>
      </c>
      <c r="Y69" s="291">
        <v>4.1141340411413402E-2</v>
      </c>
      <c r="Z69" s="291">
        <v>4.1141340411413402E-2</v>
      </c>
      <c r="AA69" s="291">
        <v>4.1141340411413402E-2</v>
      </c>
      <c r="AB69" s="291">
        <v>4.1141340411413402E-2</v>
      </c>
      <c r="AC69" s="291">
        <v>4.1141340411413402E-2</v>
      </c>
      <c r="AD69" s="291">
        <v>4.1141340411413402E-2</v>
      </c>
      <c r="AE69" s="291">
        <v>4.1141340411413402E-2</v>
      </c>
      <c r="AF69" s="291">
        <v>4.1141340411413402E-2</v>
      </c>
      <c r="AG69" s="291">
        <v>4.1141340411413402E-2</v>
      </c>
      <c r="AH69" s="291">
        <v>4.1141340411413402E-2</v>
      </c>
      <c r="AI69" s="291">
        <v>4.1141340411413402E-2</v>
      </c>
      <c r="AJ69" s="291">
        <v>4.1141340411413402E-2</v>
      </c>
      <c r="AK69" s="291">
        <v>4.1141340411413402E-2</v>
      </c>
      <c r="AL69" s="291">
        <v>4.1141340411413402E-2</v>
      </c>
      <c r="AM69" s="291">
        <v>4.1141340411413402E-2</v>
      </c>
      <c r="AN69" s="291">
        <v>4.1141340411413402E-2</v>
      </c>
    </row>
    <row r="70" spans="1:40" x14ac:dyDescent="0.25">
      <c r="A70" s="277" t="s">
        <v>196</v>
      </c>
      <c r="B70" s="291">
        <v>151.16151017084701</v>
      </c>
      <c r="C70" s="291">
        <v>151.39156005060201</v>
      </c>
      <c r="D70" s="291">
        <v>109.345767365387</v>
      </c>
      <c r="E70" s="291">
        <v>103.980879938092</v>
      </c>
      <c r="F70" s="291">
        <v>101.009627512786</v>
      </c>
      <c r="G70" s="291">
        <v>95.306055823432501</v>
      </c>
      <c r="H70" s="291">
        <v>89.339106881023099</v>
      </c>
      <c r="I70" s="291">
        <v>83.064086659676406</v>
      </c>
      <c r="J70" s="291">
        <v>74.510497183615897</v>
      </c>
      <c r="K70" s="291">
        <v>69.780188066728499</v>
      </c>
      <c r="L70" s="291">
        <v>64.7416075579752</v>
      </c>
      <c r="M70" s="291">
        <v>59.439761120380602</v>
      </c>
      <c r="N70" s="291">
        <v>54.112301872813603</v>
      </c>
      <c r="O70" s="291">
        <v>48.805837810861703</v>
      </c>
      <c r="P70" s="291">
        <v>43.685589873245803</v>
      </c>
      <c r="Q70" s="291">
        <v>38.955924437616403</v>
      </c>
      <c r="R70" s="291">
        <v>34.578407211744199</v>
      </c>
      <c r="S70" s="291">
        <v>30.557122505788399</v>
      </c>
      <c r="T70" s="291">
        <v>26.8536303007429</v>
      </c>
      <c r="U70" s="291">
        <v>23.4977318694459</v>
      </c>
      <c r="V70" s="291">
        <v>20.464016620357999</v>
      </c>
      <c r="W70" s="291">
        <v>17.715667589672801</v>
      </c>
      <c r="X70" s="291">
        <v>15.2540936558075</v>
      </c>
      <c r="Y70" s="291">
        <v>13.067965210235901</v>
      </c>
      <c r="Z70" s="291">
        <v>11.131635081254499</v>
      </c>
      <c r="AA70" s="291">
        <v>9.4259197508157992</v>
      </c>
      <c r="AB70" s="291">
        <v>7.9261866551616604</v>
      </c>
      <c r="AC70" s="291">
        <v>6.6145033863271596</v>
      </c>
      <c r="AD70" s="291">
        <v>5.47231497337002</v>
      </c>
      <c r="AE70" s="291">
        <v>4.5198574385354604</v>
      </c>
      <c r="AF70" s="291">
        <v>3.7251732481127902</v>
      </c>
      <c r="AG70" s="291">
        <v>3.0598641127458701</v>
      </c>
      <c r="AH70" s="291">
        <v>2.5101397596844599</v>
      </c>
      <c r="AI70" s="291">
        <v>2.06620129812725</v>
      </c>
      <c r="AJ70" s="291">
        <v>1.70860050785378</v>
      </c>
      <c r="AK70" s="291">
        <v>1.4280214264759401</v>
      </c>
      <c r="AL70" s="291">
        <v>1.2130197267118901</v>
      </c>
      <c r="AM70" s="291">
        <v>1.0530704427848001</v>
      </c>
      <c r="AN70" s="291">
        <v>0.93938096169858298</v>
      </c>
    </row>
    <row r="71" spans="1:40" x14ac:dyDescent="0.25">
      <c r="A71" s="277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  <c r="AL71" s="278"/>
      <c r="AM71" s="278"/>
      <c r="AN71" s="278"/>
    </row>
    <row r="72" spans="1:40" x14ac:dyDescent="0.25">
      <c r="A72" s="277" t="s">
        <v>252</v>
      </c>
      <c r="B72" s="280">
        <v>2022</v>
      </c>
      <c r="C72" s="280">
        <v>2023</v>
      </c>
      <c r="D72" s="280">
        <v>2024</v>
      </c>
      <c r="E72" s="280">
        <v>2025</v>
      </c>
      <c r="F72" s="280">
        <v>2026</v>
      </c>
      <c r="G72" s="280">
        <v>2027</v>
      </c>
      <c r="H72" s="280">
        <v>2028</v>
      </c>
      <c r="I72" s="280">
        <v>2029</v>
      </c>
      <c r="J72" s="280">
        <v>2030</v>
      </c>
      <c r="K72" s="280">
        <v>2031</v>
      </c>
      <c r="L72" s="280">
        <v>2032</v>
      </c>
      <c r="M72" s="280">
        <v>2033</v>
      </c>
      <c r="N72" s="280">
        <v>2034</v>
      </c>
      <c r="O72" s="280">
        <v>2035</v>
      </c>
      <c r="P72" s="280">
        <v>2036</v>
      </c>
      <c r="Q72" s="280">
        <v>2037</v>
      </c>
      <c r="R72" s="280">
        <v>2038</v>
      </c>
      <c r="S72" s="280">
        <v>2039</v>
      </c>
      <c r="T72" s="280">
        <v>2040</v>
      </c>
      <c r="U72" s="280">
        <v>2041</v>
      </c>
      <c r="V72" s="280">
        <v>2042</v>
      </c>
      <c r="W72" s="280">
        <v>2043</v>
      </c>
      <c r="X72" s="280">
        <v>2044</v>
      </c>
      <c r="Y72" s="280">
        <v>2045</v>
      </c>
      <c r="Z72" s="280">
        <v>2046</v>
      </c>
      <c r="AA72" s="280">
        <v>2047</v>
      </c>
      <c r="AB72" s="280">
        <v>2048</v>
      </c>
      <c r="AC72" s="280">
        <v>2049</v>
      </c>
      <c r="AD72" s="280">
        <v>2050</v>
      </c>
      <c r="AE72" s="280">
        <v>2051</v>
      </c>
      <c r="AF72" s="280">
        <v>2052</v>
      </c>
      <c r="AG72" s="280">
        <v>2053</v>
      </c>
      <c r="AH72" s="280">
        <v>2054</v>
      </c>
      <c r="AI72" s="280">
        <v>2055</v>
      </c>
      <c r="AJ72" s="280">
        <v>2056</v>
      </c>
      <c r="AK72" s="280">
        <v>2057</v>
      </c>
      <c r="AL72" s="280">
        <v>2058</v>
      </c>
      <c r="AM72" s="280">
        <v>2059</v>
      </c>
      <c r="AN72" s="280">
        <v>2060</v>
      </c>
    </row>
    <row r="73" spans="1:40" x14ac:dyDescent="0.25">
      <c r="A73" s="277" t="s">
        <v>194</v>
      </c>
      <c r="B73" s="291">
        <v>0.67924981966818943</v>
      </c>
      <c r="C73" s="291">
        <v>0.67924981966818943</v>
      </c>
      <c r="D73" s="291">
        <v>0.67924981966818943</v>
      </c>
      <c r="E73" s="291">
        <v>0.67924981966818943</v>
      </c>
      <c r="F73" s="291">
        <v>0.67924981966818943</v>
      </c>
      <c r="G73" s="291">
        <v>0.67924981966818943</v>
      </c>
      <c r="H73" s="291">
        <v>0.67924981966818943</v>
      </c>
      <c r="I73" s="291">
        <v>0.67924981966818943</v>
      </c>
      <c r="J73" s="291">
        <v>0.67924981966818943</v>
      </c>
      <c r="K73" s="291">
        <v>0.67924981966818943</v>
      </c>
      <c r="L73" s="291">
        <v>0.67924981966818943</v>
      </c>
      <c r="M73" s="291">
        <v>0.67924981966818943</v>
      </c>
      <c r="N73" s="291">
        <v>0.67924981966818943</v>
      </c>
      <c r="O73" s="291">
        <v>0.67924981966818943</v>
      </c>
      <c r="P73" s="291">
        <v>0.67924981966818943</v>
      </c>
      <c r="Q73" s="291">
        <v>0.67924981966818943</v>
      </c>
      <c r="R73" s="291">
        <v>0.67924981966818943</v>
      </c>
      <c r="S73" s="291">
        <v>0.67924981966818943</v>
      </c>
      <c r="T73" s="291">
        <v>0.67924981966818943</v>
      </c>
      <c r="U73" s="291">
        <v>0.67924981966818943</v>
      </c>
      <c r="V73" s="291">
        <v>0.67924981966818943</v>
      </c>
      <c r="W73" s="291">
        <v>0.67924981966818943</v>
      </c>
      <c r="X73" s="291">
        <v>0.67924981966818943</v>
      </c>
      <c r="Y73" s="291">
        <v>0.67924981966818943</v>
      </c>
      <c r="Z73" s="291">
        <v>0.67924981966818943</v>
      </c>
      <c r="AA73" s="291">
        <v>0.67924981966818943</v>
      </c>
      <c r="AB73" s="291">
        <v>0.67924981966818943</v>
      </c>
      <c r="AC73" s="291">
        <v>0.67924981966818943</v>
      </c>
      <c r="AD73" s="291">
        <v>0.67924981966818943</v>
      </c>
      <c r="AE73" s="291">
        <v>0.67924981966818943</v>
      </c>
      <c r="AF73" s="291">
        <v>0.67924981966818943</v>
      </c>
      <c r="AG73" s="291">
        <v>0.67924981966818943</v>
      </c>
      <c r="AH73" s="291">
        <v>0.67924981966818943</v>
      </c>
      <c r="AI73" s="291">
        <v>0.67924981966818943</v>
      </c>
      <c r="AJ73" s="291">
        <v>0.67924981966818943</v>
      </c>
      <c r="AK73" s="291">
        <v>0.67924981966818943</v>
      </c>
      <c r="AL73" s="291">
        <v>0.67924981966818943</v>
      </c>
      <c r="AM73" s="291">
        <v>0.67924981966818943</v>
      </c>
      <c r="AN73" s="291">
        <v>0.67924981966818943</v>
      </c>
    </row>
    <row r="74" spans="1:40" x14ac:dyDescent="0.25">
      <c r="A74" s="277" t="s">
        <v>195</v>
      </c>
      <c r="B74" s="291">
        <v>3.5104592450108198E-2</v>
      </c>
      <c r="C74" s="291">
        <v>3.5104592450108198E-2</v>
      </c>
      <c r="D74" s="291">
        <v>3.5104592450108198E-2</v>
      </c>
      <c r="E74" s="291">
        <v>3.5104592450108198E-2</v>
      </c>
      <c r="F74" s="291">
        <v>3.5104592450108198E-2</v>
      </c>
      <c r="G74" s="291">
        <v>3.5104592450108198E-2</v>
      </c>
      <c r="H74" s="291">
        <v>3.5104592450108198E-2</v>
      </c>
      <c r="I74" s="291">
        <v>3.5104592450108198E-2</v>
      </c>
      <c r="J74" s="291">
        <v>3.5104592450108198E-2</v>
      </c>
      <c r="K74" s="291">
        <v>3.5104592450108198E-2</v>
      </c>
      <c r="L74" s="291">
        <v>3.5104592450108198E-2</v>
      </c>
      <c r="M74" s="291">
        <v>3.5104592450108198E-2</v>
      </c>
      <c r="N74" s="291">
        <v>3.5104592450108198E-2</v>
      </c>
      <c r="O74" s="291">
        <v>3.5104592450108198E-2</v>
      </c>
      <c r="P74" s="291">
        <v>3.5104592450108198E-2</v>
      </c>
      <c r="Q74" s="291">
        <v>3.5104592450108198E-2</v>
      </c>
      <c r="R74" s="291">
        <v>3.5104592450108198E-2</v>
      </c>
      <c r="S74" s="291">
        <v>3.5104592450108198E-2</v>
      </c>
      <c r="T74" s="291">
        <v>3.5104592450108198E-2</v>
      </c>
      <c r="U74" s="291">
        <v>3.5104592450108198E-2</v>
      </c>
      <c r="V74" s="291">
        <v>3.5104592450108198E-2</v>
      </c>
      <c r="W74" s="291">
        <v>3.5104592450108198E-2</v>
      </c>
      <c r="X74" s="291">
        <v>3.5104592450108198E-2</v>
      </c>
      <c r="Y74" s="291">
        <v>3.5104592450108198E-2</v>
      </c>
      <c r="Z74" s="291">
        <v>3.5104592450108198E-2</v>
      </c>
      <c r="AA74" s="291">
        <v>3.5104592450108198E-2</v>
      </c>
      <c r="AB74" s="291">
        <v>3.5104592450108198E-2</v>
      </c>
      <c r="AC74" s="291">
        <v>3.5104592450108198E-2</v>
      </c>
      <c r="AD74" s="291">
        <v>3.5104592450108198E-2</v>
      </c>
      <c r="AE74" s="291">
        <v>3.5104592450108198E-2</v>
      </c>
      <c r="AF74" s="291">
        <v>3.5104592450108198E-2</v>
      </c>
      <c r="AG74" s="291">
        <v>3.5104592450108198E-2</v>
      </c>
      <c r="AH74" s="291">
        <v>3.5104592450108198E-2</v>
      </c>
      <c r="AI74" s="291">
        <v>3.5104592450108198E-2</v>
      </c>
      <c r="AJ74" s="291">
        <v>3.5104592450108198E-2</v>
      </c>
      <c r="AK74" s="291">
        <v>3.5104592450108198E-2</v>
      </c>
      <c r="AL74" s="291">
        <v>3.5104592450108198E-2</v>
      </c>
      <c r="AM74" s="291">
        <v>3.5104592450108198E-2</v>
      </c>
      <c r="AN74" s="291">
        <v>3.5104592450108198E-2</v>
      </c>
    </row>
    <row r="75" spans="1:40" x14ac:dyDescent="0.25">
      <c r="A75" s="277" t="s">
        <v>196</v>
      </c>
      <c r="B75" s="291">
        <v>144.358121146472</v>
      </c>
      <c r="C75" s="291">
        <v>144.577817075507</v>
      </c>
      <c r="D75" s="291">
        <v>104.424396887447</v>
      </c>
      <c r="E75" s="291">
        <v>99.300969182263898</v>
      </c>
      <c r="F75" s="291">
        <v>96.463445151944995</v>
      </c>
      <c r="G75" s="291">
        <v>91.016576488297403</v>
      </c>
      <c r="H75" s="291">
        <v>85.318184501279006</v>
      </c>
      <c r="I75" s="291">
        <v>79.325586727640101</v>
      </c>
      <c r="J75" s="291">
        <v>71.156972214416797</v>
      </c>
      <c r="K75" s="291">
        <v>66.639562089418106</v>
      </c>
      <c r="L75" s="291">
        <v>61.827755071435902</v>
      </c>
      <c r="M75" s="291">
        <v>56.764531043882698</v>
      </c>
      <c r="N75" s="291">
        <v>51.6768469727593</v>
      </c>
      <c r="O75" s="291">
        <v>46.609213148190797</v>
      </c>
      <c r="P75" s="291">
        <v>41.719414341319101</v>
      </c>
      <c r="Q75" s="291">
        <v>37.202618927147903</v>
      </c>
      <c r="R75" s="291">
        <v>33.022122441640398</v>
      </c>
      <c r="S75" s="291">
        <v>29.181825370708101</v>
      </c>
      <c r="T75" s="291">
        <v>25.645017781284601</v>
      </c>
      <c r="U75" s="291">
        <v>22.440159667913701</v>
      </c>
      <c r="V75" s="291">
        <v>19.5429841041293</v>
      </c>
      <c r="W75" s="291">
        <v>16.918331162543701</v>
      </c>
      <c r="X75" s="291">
        <v>14.5675463115965</v>
      </c>
      <c r="Y75" s="291">
        <v>12.479809859169601</v>
      </c>
      <c r="Z75" s="291">
        <v>10.6306289464946</v>
      </c>
      <c r="AA75" s="291">
        <v>9.0016834561078092</v>
      </c>
      <c r="AB75" s="291">
        <v>7.5694494723038597</v>
      </c>
      <c r="AC75" s="291">
        <v>6.31680167846931</v>
      </c>
      <c r="AD75" s="291">
        <v>5.2260202149644304</v>
      </c>
      <c r="AE75" s="291">
        <v>4.3164303329560099</v>
      </c>
      <c r="AF75" s="291">
        <v>3.5575128247585601</v>
      </c>
      <c r="AG75" s="291">
        <v>2.9221475346486598</v>
      </c>
      <c r="AH75" s="291">
        <v>2.3971648544233002</v>
      </c>
      <c r="AI75" s="291">
        <v>1.97320691603923</v>
      </c>
      <c r="AJ75" s="291">
        <v>1.63170081342074</v>
      </c>
      <c r="AK75" s="291">
        <v>1.36374987157761</v>
      </c>
      <c r="AL75" s="291">
        <v>1.1584248428308299</v>
      </c>
      <c r="AM75" s="291">
        <v>1.00567446292036</v>
      </c>
      <c r="AN75" s="291">
        <v>0.89710185164401801</v>
      </c>
    </row>
    <row r="76" spans="1:40" x14ac:dyDescent="0.25">
      <c r="A76" s="277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  <c r="AK76" s="278"/>
      <c r="AL76" s="278"/>
      <c r="AM76" s="278"/>
      <c r="AN76" s="278"/>
    </row>
    <row r="77" spans="1:40" x14ac:dyDescent="0.25">
      <c r="A77" s="277" t="s">
        <v>253</v>
      </c>
      <c r="B77" s="280">
        <v>2022</v>
      </c>
      <c r="C77" s="280">
        <v>2023</v>
      </c>
      <c r="D77" s="280">
        <v>2024</v>
      </c>
      <c r="E77" s="280">
        <v>2025</v>
      </c>
      <c r="F77" s="280">
        <v>2026</v>
      </c>
      <c r="G77" s="280">
        <v>2027</v>
      </c>
      <c r="H77" s="280">
        <v>2028</v>
      </c>
      <c r="I77" s="280">
        <v>2029</v>
      </c>
      <c r="J77" s="280">
        <v>2030</v>
      </c>
      <c r="K77" s="280">
        <v>2031</v>
      </c>
      <c r="L77" s="280">
        <v>2032</v>
      </c>
      <c r="M77" s="280">
        <v>2033</v>
      </c>
      <c r="N77" s="280">
        <v>2034</v>
      </c>
      <c r="O77" s="280">
        <v>2035</v>
      </c>
      <c r="P77" s="280">
        <v>2036</v>
      </c>
      <c r="Q77" s="280">
        <v>2037</v>
      </c>
      <c r="R77" s="280">
        <v>2038</v>
      </c>
      <c r="S77" s="280">
        <v>2039</v>
      </c>
      <c r="T77" s="280">
        <v>2040</v>
      </c>
      <c r="U77" s="280">
        <v>2041</v>
      </c>
      <c r="V77" s="280">
        <v>2042</v>
      </c>
      <c r="W77" s="280">
        <v>2043</v>
      </c>
      <c r="X77" s="280">
        <v>2044</v>
      </c>
      <c r="Y77" s="280">
        <v>2045</v>
      </c>
      <c r="Z77" s="280">
        <v>2046</v>
      </c>
      <c r="AA77" s="280">
        <v>2047</v>
      </c>
      <c r="AB77" s="280">
        <v>2048</v>
      </c>
      <c r="AC77" s="280">
        <v>2049</v>
      </c>
      <c r="AD77" s="280">
        <v>2050</v>
      </c>
      <c r="AE77" s="280">
        <v>2051</v>
      </c>
      <c r="AF77" s="280">
        <v>2052</v>
      </c>
      <c r="AG77" s="280">
        <v>2053</v>
      </c>
      <c r="AH77" s="280">
        <v>2054</v>
      </c>
      <c r="AI77" s="280">
        <v>2055</v>
      </c>
      <c r="AJ77" s="280">
        <v>2056</v>
      </c>
      <c r="AK77" s="280">
        <v>2057</v>
      </c>
      <c r="AL77" s="280">
        <v>2058</v>
      </c>
      <c r="AM77" s="280">
        <v>2059</v>
      </c>
      <c r="AN77" s="280">
        <v>2060</v>
      </c>
    </row>
    <row r="78" spans="1:40" x14ac:dyDescent="0.25">
      <c r="A78" s="277" t="s">
        <v>194</v>
      </c>
      <c r="B78" s="291">
        <v>3.5449101796407185</v>
      </c>
      <c r="C78" s="291">
        <v>3.5449101796407185</v>
      </c>
      <c r="D78" s="291">
        <v>3.5449101796407185</v>
      </c>
      <c r="E78" s="291">
        <v>3.5449101796407185</v>
      </c>
      <c r="F78" s="291">
        <v>3.5449101796407185</v>
      </c>
      <c r="G78" s="291">
        <v>3.5449101796407185</v>
      </c>
      <c r="H78" s="291">
        <v>3.5449101796407185</v>
      </c>
      <c r="I78" s="291">
        <v>3.5449101796407185</v>
      </c>
      <c r="J78" s="291">
        <v>3.5449101796407185</v>
      </c>
      <c r="K78" s="291">
        <v>3.5449101796407185</v>
      </c>
      <c r="L78" s="291">
        <v>3.5449101796407185</v>
      </c>
      <c r="M78" s="291">
        <v>3.5449101796407185</v>
      </c>
      <c r="N78" s="291">
        <v>3.5449101796407185</v>
      </c>
      <c r="O78" s="291">
        <v>3.5449101796407185</v>
      </c>
      <c r="P78" s="291">
        <v>3.5449101796407185</v>
      </c>
      <c r="Q78" s="291">
        <v>3.5449101796407185</v>
      </c>
      <c r="R78" s="291">
        <v>3.5449101796407185</v>
      </c>
      <c r="S78" s="291">
        <v>3.5449101796407185</v>
      </c>
      <c r="T78" s="291">
        <v>3.5449101796407185</v>
      </c>
      <c r="U78" s="291">
        <v>3.5449101796407185</v>
      </c>
      <c r="V78" s="291">
        <v>3.5449101796407185</v>
      </c>
      <c r="W78" s="291">
        <v>3.5449101796407185</v>
      </c>
      <c r="X78" s="291">
        <v>3.5449101796407185</v>
      </c>
      <c r="Y78" s="291">
        <v>3.5449101796407185</v>
      </c>
      <c r="Z78" s="291">
        <v>3.5449101796407185</v>
      </c>
      <c r="AA78" s="291">
        <v>3.5449101796407185</v>
      </c>
      <c r="AB78" s="291">
        <v>3.5449101796407185</v>
      </c>
      <c r="AC78" s="291">
        <v>3.5449101796407185</v>
      </c>
      <c r="AD78" s="291">
        <v>3.5449101796407185</v>
      </c>
      <c r="AE78" s="291">
        <v>3.5449101796407185</v>
      </c>
      <c r="AF78" s="291">
        <v>3.5449101796407185</v>
      </c>
      <c r="AG78" s="291">
        <v>3.5449101796407185</v>
      </c>
      <c r="AH78" s="291">
        <v>3.5449101796407185</v>
      </c>
      <c r="AI78" s="291">
        <v>3.5449101796407185</v>
      </c>
      <c r="AJ78" s="291">
        <v>3.5449101796407185</v>
      </c>
      <c r="AK78" s="291">
        <v>3.5449101796407185</v>
      </c>
      <c r="AL78" s="291">
        <v>3.5449101796407185</v>
      </c>
      <c r="AM78" s="291">
        <v>3.5449101796407185</v>
      </c>
      <c r="AN78" s="291">
        <v>3.5449101796407185</v>
      </c>
    </row>
    <row r="79" spans="1:40" x14ac:dyDescent="0.25">
      <c r="A79" s="277" t="s">
        <v>195</v>
      </c>
      <c r="B79" s="291">
        <v>3.5928143712574849E-2</v>
      </c>
      <c r="C79" s="291">
        <v>3.5928143712574849E-2</v>
      </c>
      <c r="D79" s="291">
        <v>3.5928143712574849E-2</v>
      </c>
      <c r="E79" s="291">
        <v>3.5928143712574849E-2</v>
      </c>
      <c r="F79" s="291">
        <v>3.5928143712574849E-2</v>
      </c>
      <c r="G79" s="291">
        <v>3.5928143712574849E-2</v>
      </c>
      <c r="H79" s="291">
        <v>3.5928143712574849E-2</v>
      </c>
      <c r="I79" s="291">
        <v>3.5928143712574849E-2</v>
      </c>
      <c r="J79" s="291">
        <v>3.5928143712574849E-2</v>
      </c>
      <c r="K79" s="291">
        <v>3.5928143712574849E-2</v>
      </c>
      <c r="L79" s="291">
        <v>3.5928143712574849E-2</v>
      </c>
      <c r="M79" s="291">
        <v>3.5928143712574849E-2</v>
      </c>
      <c r="N79" s="291">
        <v>3.5928143712574849E-2</v>
      </c>
      <c r="O79" s="291">
        <v>3.5928143712574849E-2</v>
      </c>
      <c r="P79" s="291">
        <v>3.5928143712574849E-2</v>
      </c>
      <c r="Q79" s="291">
        <v>3.5928143712574849E-2</v>
      </c>
      <c r="R79" s="291">
        <v>3.5928143712574849E-2</v>
      </c>
      <c r="S79" s="291">
        <v>3.5928143712574849E-2</v>
      </c>
      <c r="T79" s="291">
        <v>3.5928143712574849E-2</v>
      </c>
      <c r="U79" s="291">
        <v>3.5928143712574849E-2</v>
      </c>
      <c r="V79" s="291">
        <v>3.5928143712574849E-2</v>
      </c>
      <c r="W79" s="291">
        <v>3.5928143712574849E-2</v>
      </c>
      <c r="X79" s="291">
        <v>3.5928143712574849E-2</v>
      </c>
      <c r="Y79" s="291">
        <v>3.5928143712574849E-2</v>
      </c>
      <c r="Z79" s="291">
        <v>3.5928143712574849E-2</v>
      </c>
      <c r="AA79" s="291">
        <v>3.5928143712574849E-2</v>
      </c>
      <c r="AB79" s="291">
        <v>3.5928143712574849E-2</v>
      </c>
      <c r="AC79" s="291">
        <v>3.5928143712574849E-2</v>
      </c>
      <c r="AD79" s="291">
        <v>3.5928143712574849E-2</v>
      </c>
      <c r="AE79" s="291">
        <v>3.5928143712574849E-2</v>
      </c>
      <c r="AF79" s="291">
        <v>3.5928143712574849E-2</v>
      </c>
      <c r="AG79" s="291">
        <v>3.5928143712574849E-2</v>
      </c>
      <c r="AH79" s="291">
        <v>3.5928143712574849E-2</v>
      </c>
      <c r="AI79" s="291">
        <v>3.5928143712574849E-2</v>
      </c>
      <c r="AJ79" s="291">
        <v>3.5928143712574849E-2</v>
      </c>
      <c r="AK79" s="291">
        <v>3.5928143712574849E-2</v>
      </c>
      <c r="AL79" s="291">
        <v>3.5928143712574849E-2</v>
      </c>
      <c r="AM79" s="291">
        <v>3.5928143712574849E-2</v>
      </c>
      <c r="AN79" s="291">
        <v>3.5928143712574849E-2</v>
      </c>
    </row>
    <row r="80" spans="1:40" x14ac:dyDescent="0.25">
      <c r="A80" s="277" t="s">
        <v>196</v>
      </c>
      <c r="B80" s="291">
        <v>966.82791657651705</v>
      </c>
      <c r="C80" s="291">
        <v>949.54499074128501</v>
      </c>
      <c r="D80" s="291">
        <v>673.899852261776</v>
      </c>
      <c r="E80" s="291">
        <v>626.43083524096903</v>
      </c>
      <c r="F80" s="291">
        <v>591.64112602680905</v>
      </c>
      <c r="G80" s="291">
        <v>541.41002502032802</v>
      </c>
      <c r="H80" s="291">
        <v>493.02833830083699</v>
      </c>
      <c r="I80" s="291">
        <v>446.81429258689099</v>
      </c>
      <c r="J80" s="291">
        <v>392.30757891226398</v>
      </c>
      <c r="K80" s="291">
        <v>362.48922851477499</v>
      </c>
      <c r="L80" s="291">
        <v>335.24559428806498</v>
      </c>
      <c r="M80" s="291">
        <v>310.43330102382902</v>
      </c>
      <c r="N80" s="291">
        <v>288.12741683906802</v>
      </c>
      <c r="O80" s="291">
        <v>267.80682928175702</v>
      </c>
      <c r="P80" s="291">
        <v>249.55741628206101</v>
      </c>
      <c r="Q80" s="291">
        <v>233.50222744331299</v>
      </c>
      <c r="R80" s="291">
        <v>219.29172920279001</v>
      </c>
      <c r="S80" s="291">
        <v>206.467392925838</v>
      </c>
      <c r="T80" s="291">
        <v>195.26416775794399</v>
      </c>
      <c r="U80" s="291">
        <v>185.92991255950099</v>
      </c>
      <c r="V80" s="291">
        <v>178.27074718597899</v>
      </c>
      <c r="W80" s="291">
        <v>171.89034793178101</v>
      </c>
      <c r="X80" s="291">
        <v>167.13819495305299</v>
      </c>
      <c r="Y80" s="291">
        <v>163.52314150171401</v>
      </c>
      <c r="Z80" s="291">
        <v>160.93094720484899</v>
      </c>
      <c r="AA80" s="291">
        <v>159.37001667193101</v>
      </c>
      <c r="AB80" s="291">
        <v>158.50726125445101</v>
      </c>
      <c r="AC80" s="291">
        <v>158.16074110650899</v>
      </c>
      <c r="AD80" s="291">
        <v>158.13304873307499</v>
      </c>
      <c r="AE80" s="291">
        <v>157.783812376757</v>
      </c>
      <c r="AF80" s="291">
        <v>157.20981838783101</v>
      </c>
      <c r="AG80" s="291">
        <v>156.56145470702</v>
      </c>
      <c r="AH80" s="291">
        <v>155.687567826329</v>
      </c>
      <c r="AI80" s="291">
        <v>154.62309134207601</v>
      </c>
      <c r="AJ80" s="291">
        <v>153.29082223449399</v>
      </c>
      <c r="AK80" s="291">
        <v>151.91201502906199</v>
      </c>
      <c r="AL80" s="291">
        <v>150.33311112902101</v>
      </c>
      <c r="AM80" s="291">
        <v>148.32850688256599</v>
      </c>
      <c r="AN80" s="291">
        <v>146.31321387829999</v>
      </c>
    </row>
    <row r="81" spans="1:40" x14ac:dyDescent="0.25">
      <c r="A81" s="277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  <c r="AL81" s="278"/>
      <c r="AM81" s="278"/>
      <c r="AN81" s="278"/>
    </row>
    <row r="82" spans="1:40" x14ac:dyDescent="0.25">
      <c r="A82" s="277" t="s">
        <v>254</v>
      </c>
      <c r="B82" s="280">
        <v>2022</v>
      </c>
      <c r="C82" s="280">
        <v>2023</v>
      </c>
      <c r="D82" s="280">
        <v>2024</v>
      </c>
      <c r="E82" s="280">
        <v>2025</v>
      </c>
      <c r="F82" s="280">
        <v>2026</v>
      </c>
      <c r="G82" s="280">
        <v>2027</v>
      </c>
      <c r="H82" s="280">
        <v>2028</v>
      </c>
      <c r="I82" s="280">
        <v>2029</v>
      </c>
      <c r="J82" s="280">
        <v>2030</v>
      </c>
      <c r="K82" s="280">
        <v>2031</v>
      </c>
      <c r="L82" s="280">
        <v>2032</v>
      </c>
      <c r="M82" s="280">
        <v>2033</v>
      </c>
      <c r="N82" s="280">
        <v>2034</v>
      </c>
      <c r="O82" s="280">
        <v>2035</v>
      </c>
      <c r="P82" s="280">
        <v>2036</v>
      </c>
      <c r="Q82" s="280">
        <v>2037</v>
      </c>
      <c r="R82" s="280">
        <v>2038</v>
      </c>
      <c r="S82" s="280">
        <v>2039</v>
      </c>
      <c r="T82" s="280">
        <v>2040</v>
      </c>
      <c r="U82" s="280">
        <v>2041</v>
      </c>
      <c r="V82" s="280">
        <v>2042</v>
      </c>
      <c r="W82" s="280">
        <v>2043</v>
      </c>
      <c r="X82" s="280">
        <v>2044</v>
      </c>
      <c r="Y82" s="280">
        <v>2045</v>
      </c>
      <c r="Z82" s="280">
        <v>2046</v>
      </c>
      <c r="AA82" s="280">
        <v>2047</v>
      </c>
      <c r="AB82" s="280">
        <v>2048</v>
      </c>
      <c r="AC82" s="280">
        <v>2049</v>
      </c>
      <c r="AD82" s="280">
        <v>2050</v>
      </c>
      <c r="AE82" s="280">
        <v>2051</v>
      </c>
      <c r="AF82" s="280">
        <v>2052</v>
      </c>
      <c r="AG82" s="280">
        <v>2053</v>
      </c>
      <c r="AH82" s="280">
        <v>2054</v>
      </c>
      <c r="AI82" s="280">
        <v>2055</v>
      </c>
      <c r="AJ82" s="280">
        <v>2056</v>
      </c>
      <c r="AK82" s="280">
        <v>2057</v>
      </c>
      <c r="AL82" s="280">
        <v>2058</v>
      </c>
      <c r="AM82" s="280">
        <v>2059</v>
      </c>
      <c r="AN82" s="280">
        <v>2060</v>
      </c>
    </row>
    <row r="83" spans="1:40" x14ac:dyDescent="0.25">
      <c r="A83" s="277" t="s">
        <v>194</v>
      </c>
      <c r="B83" s="291">
        <v>1.7837078651685394</v>
      </c>
      <c r="C83" s="291">
        <v>1.7837078651685394</v>
      </c>
      <c r="D83" s="291">
        <v>1.7837078651685394</v>
      </c>
      <c r="E83" s="291">
        <v>1.7837078651685394</v>
      </c>
      <c r="F83" s="291">
        <v>1.7837078651685394</v>
      </c>
      <c r="G83" s="291">
        <v>1.7837078651685394</v>
      </c>
      <c r="H83" s="291">
        <v>1.7837078651685394</v>
      </c>
      <c r="I83" s="291">
        <v>1.7837078651685394</v>
      </c>
      <c r="J83" s="291">
        <v>1.7837078651685394</v>
      </c>
      <c r="K83" s="291">
        <v>1.7837078651685394</v>
      </c>
      <c r="L83" s="291">
        <v>1.7837078651685394</v>
      </c>
      <c r="M83" s="291">
        <v>1.7837078651685394</v>
      </c>
      <c r="N83" s="291">
        <v>1.7837078651685394</v>
      </c>
      <c r="O83" s="291">
        <v>1.7837078651685394</v>
      </c>
      <c r="P83" s="291">
        <v>1.7837078651685394</v>
      </c>
      <c r="Q83" s="291">
        <v>1.7837078651685394</v>
      </c>
      <c r="R83" s="291">
        <v>1.7837078651685394</v>
      </c>
      <c r="S83" s="291">
        <v>1.7837078651685394</v>
      </c>
      <c r="T83" s="291">
        <v>1.7837078651685394</v>
      </c>
      <c r="U83" s="291">
        <v>1.7837078651685394</v>
      </c>
      <c r="V83" s="291">
        <v>1.7837078651685394</v>
      </c>
      <c r="W83" s="291">
        <v>1.7837078651685394</v>
      </c>
      <c r="X83" s="291">
        <v>1.7837078651685394</v>
      </c>
      <c r="Y83" s="291">
        <v>1.7837078651685394</v>
      </c>
      <c r="Z83" s="291">
        <v>1.7837078651685394</v>
      </c>
      <c r="AA83" s="291">
        <v>1.7837078651685394</v>
      </c>
      <c r="AB83" s="291">
        <v>1.7837078651685394</v>
      </c>
      <c r="AC83" s="291">
        <v>1.7837078651685394</v>
      </c>
      <c r="AD83" s="291">
        <v>1.7837078651685394</v>
      </c>
      <c r="AE83" s="291">
        <v>1.7837078651685394</v>
      </c>
      <c r="AF83" s="291">
        <v>1.7837078651685394</v>
      </c>
      <c r="AG83" s="291">
        <v>1.7837078651685394</v>
      </c>
      <c r="AH83" s="291">
        <v>1.7837078651685394</v>
      </c>
      <c r="AI83" s="291">
        <v>1.7837078651685394</v>
      </c>
      <c r="AJ83" s="291">
        <v>1.7837078651685394</v>
      </c>
      <c r="AK83" s="291">
        <v>1.7837078651685394</v>
      </c>
      <c r="AL83" s="291">
        <v>1.7837078651685394</v>
      </c>
      <c r="AM83" s="291">
        <v>1.7837078651685394</v>
      </c>
      <c r="AN83" s="291">
        <v>1.7837078651685394</v>
      </c>
    </row>
    <row r="84" spans="1:40" x14ac:dyDescent="0.25">
      <c r="A84" s="277" t="s">
        <v>195</v>
      </c>
      <c r="B84" s="291">
        <v>2.247191011235955E-2</v>
      </c>
      <c r="C84" s="291">
        <v>2.247191011235955E-2</v>
      </c>
      <c r="D84" s="291">
        <v>2.247191011235955E-2</v>
      </c>
      <c r="E84" s="291">
        <v>2.247191011235955E-2</v>
      </c>
      <c r="F84" s="291">
        <v>2.247191011235955E-2</v>
      </c>
      <c r="G84" s="291">
        <v>2.247191011235955E-2</v>
      </c>
      <c r="H84" s="291">
        <v>2.247191011235955E-2</v>
      </c>
      <c r="I84" s="291">
        <v>2.247191011235955E-2</v>
      </c>
      <c r="J84" s="291">
        <v>2.247191011235955E-2</v>
      </c>
      <c r="K84" s="291">
        <v>2.247191011235955E-2</v>
      </c>
      <c r="L84" s="291">
        <v>2.247191011235955E-2</v>
      </c>
      <c r="M84" s="291">
        <v>2.247191011235955E-2</v>
      </c>
      <c r="N84" s="291">
        <v>2.247191011235955E-2</v>
      </c>
      <c r="O84" s="291">
        <v>2.247191011235955E-2</v>
      </c>
      <c r="P84" s="291">
        <v>2.247191011235955E-2</v>
      </c>
      <c r="Q84" s="291">
        <v>2.247191011235955E-2</v>
      </c>
      <c r="R84" s="291">
        <v>2.247191011235955E-2</v>
      </c>
      <c r="S84" s="291">
        <v>2.247191011235955E-2</v>
      </c>
      <c r="T84" s="291">
        <v>2.247191011235955E-2</v>
      </c>
      <c r="U84" s="291">
        <v>2.247191011235955E-2</v>
      </c>
      <c r="V84" s="291">
        <v>2.247191011235955E-2</v>
      </c>
      <c r="W84" s="291">
        <v>2.247191011235955E-2</v>
      </c>
      <c r="X84" s="291">
        <v>2.247191011235955E-2</v>
      </c>
      <c r="Y84" s="291">
        <v>2.247191011235955E-2</v>
      </c>
      <c r="Z84" s="291">
        <v>2.247191011235955E-2</v>
      </c>
      <c r="AA84" s="291">
        <v>2.247191011235955E-2</v>
      </c>
      <c r="AB84" s="291">
        <v>2.247191011235955E-2</v>
      </c>
      <c r="AC84" s="291">
        <v>2.247191011235955E-2</v>
      </c>
      <c r="AD84" s="291">
        <v>2.247191011235955E-2</v>
      </c>
      <c r="AE84" s="291">
        <v>2.247191011235955E-2</v>
      </c>
      <c r="AF84" s="291">
        <v>2.247191011235955E-2</v>
      </c>
      <c r="AG84" s="291">
        <v>2.247191011235955E-2</v>
      </c>
      <c r="AH84" s="291">
        <v>2.247191011235955E-2</v>
      </c>
      <c r="AI84" s="291">
        <v>2.247191011235955E-2</v>
      </c>
      <c r="AJ84" s="291">
        <v>2.247191011235955E-2</v>
      </c>
      <c r="AK84" s="291">
        <v>2.247191011235955E-2</v>
      </c>
      <c r="AL84" s="291">
        <v>2.247191011235955E-2</v>
      </c>
      <c r="AM84" s="291">
        <v>2.247191011235955E-2</v>
      </c>
      <c r="AN84" s="291">
        <v>2.247191011235955E-2</v>
      </c>
    </row>
    <row r="85" spans="1:40" x14ac:dyDescent="0.25">
      <c r="A85" s="277" t="s">
        <v>196</v>
      </c>
      <c r="B85" s="291">
        <v>650.22608638199904</v>
      </c>
      <c r="C85" s="291">
        <v>638.60270539102999</v>
      </c>
      <c r="D85" s="291">
        <v>453.22156718558301</v>
      </c>
      <c r="E85" s="291">
        <v>421.29696857538499</v>
      </c>
      <c r="F85" s="291">
        <v>397.89965445066298</v>
      </c>
      <c r="G85" s="291">
        <v>364.11745633442001</v>
      </c>
      <c r="H85" s="291">
        <v>331.57905496143297</v>
      </c>
      <c r="I85" s="291">
        <v>300.49846909372098</v>
      </c>
      <c r="J85" s="291">
        <v>263.84076971770997</v>
      </c>
      <c r="K85" s="291">
        <v>243.78687082949801</v>
      </c>
      <c r="L85" s="291">
        <v>225.46455994217601</v>
      </c>
      <c r="M85" s="291">
        <v>208.77741213981</v>
      </c>
      <c r="N85" s="291">
        <v>193.77591339522999</v>
      </c>
      <c r="O85" s="291">
        <v>180.109597090298</v>
      </c>
      <c r="P85" s="291">
        <v>167.836219180836</v>
      </c>
      <c r="Q85" s="291">
        <v>157.038534892087</v>
      </c>
      <c r="R85" s="291">
        <v>147.48147049825801</v>
      </c>
      <c r="S85" s="291">
        <v>138.856649219476</v>
      </c>
      <c r="T85" s="291">
        <v>131.32208269436899</v>
      </c>
      <c r="U85" s="291">
        <v>125.04446480300101</v>
      </c>
      <c r="V85" s="291">
        <v>119.89340426741801</v>
      </c>
      <c r="W85" s="291">
        <v>115.602359330174</v>
      </c>
      <c r="X85" s="291">
        <v>112.40636779924201</v>
      </c>
      <c r="Y85" s="291">
        <v>109.975116055862</v>
      </c>
      <c r="Z85" s="291">
        <v>108.23177339488301</v>
      </c>
      <c r="AA85" s="291">
        <v>107.181992214456</v>
      </c>
      <c r="AB85" s="291">
        <v>106.601758577224</v>
      </c>
      <c r="AC85" s="291">
        <v>106.368711479819</v>
      </c>
      <c r="AD85" s="291">
        <v>106.350087375889</v>
      </c>
      <c r="AE85" s="291">
        <v>106.115213531953</v>
      </c>
      <c r="AF85" s="291">
        <v>105.729182203495</v>
      </c>
      <c r="AG85" s="291">
        <v>105.293134617883</v>
      </c>
      <c r="AH85" s="291">
        <v>104.70541467658801</v>
      </c>
      <c r="AI85" s="291">
        <v>103.98951646291999</v>
      </c>
      <c r="AJ85" s="291">
        <v>103.09351820616899</v>
      </c>
      <c r="AK85" s="291">
        <v>102.166221426988</v>
      </c>
      <c r="AL85" s="291">
        <v>101.104352519301</v>
      </c>
      <c r="AM85" s="291">
        <v>99.756185020649696</v>
      </c>
      <c r="AN85" s="291">
        <v>98.400828953029304</v>
      </c>
    </row>
    <row r="86" spans="1:40" x14ac:dyDescent="0.25">
      <c r="A86" s="277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8"/>
      <c r="AM86" s="278"/>
      <c r="AN86" s="278"/>
    </row>
    <row r="87" spans="1:40" x14ac:dyDescent="0.25">
      <c r="A87" s="277" t="s">
        <v>255</v>
      </c>
      <c r="B87" s="280">
        <v>2022</v>
      </c>
      <c r="C87" s="280">
        <v>2023</v>
      </c>
      <c r="D87" s="280">
        <v>2024</v>
      </c>
      <c r="E87" s="280">
        <v>2025</v>
      </c>
      <c r="F87" s="280">
        <v>2026</v>
      </c>
      <c r="G87" s="280">
        <v>2027</v>
      </c>
      <c r="H87" s="280">
        <v>2028</v>
      </c>
      <c r="I87" s="280">
        <v>2029</v>
      </c>
      <c r="J87" s="280">
        <v>2030</v>
      </c>
      <c r="K87" s="280">
        <v>2031</v>
      </c>
      <c r="L87" s="280">
        <v>2032</v>
      </c>
      <c r="M87" s="280">
        <v>2033</v>
      </c>
      <c r="N87" s="280">
        <v>2034</v>
      </c>
      <c r="O87" s="280">
        <v>2035</v>
      </c>
      <c r="P87" s="280">
        <v>2036</v>
      </c>
      <c r="Q87" s="280">
        <v>2037</v>
      </c>
      <c r="R87" s="280">
        <v>2038</v>
      </c>
      <c r="S87" s="280">
        <v>2039</v>
      </c>
      <c r="T87" s="280">
        <v>2040</v>
      </c>
      <c r="U87" s="280">
        <v>2041</v>
      </c>
      <c r="V87" s="280">
        <v>2042</v>
      </c>
      <c r="W87" s="280">
        <v>2043</v>
      </c>
      <c r="X87" s="280">
        <v>2044</v>
      </c>
      <c r="Y87" s="280">
        <v>2045</v>
      </c>
      <c r="Z87" s="280">
        <v>2046</v>
      </c>
      <c r="AA87" s="280">
        <v>2047</v>
      </c>
      <c r="AB87" s="280">
        <v>2048</v>
      </c>
      <c r="AC87" s="280">
        <v>2049</v>
      </c>
      <c r="AD87" s="280">
        <v>2050</v>
      </c>
      <c r="AE87" s="280">
        <v>2051</v>
      </c>
      <c r="AF87" s="280">
        <v>2052</v>
      </c>
      <c r="AG87" s="280">
        <v>2053</v>
      </c>
      <c r="AH87" s="280">
        <v>2054</v>
      </c>
      <c r="AI87" s="280">
        <v>2055</v>
      </c>
      <c r="AJ87" s="280">
        <v>2056</v>
      </c>
      <c r="AK87" s="280">
        <v>2057</v>
      </c>
      <c r="AL87" s="280">
        <v>2058</v>
      </c>
      <c r="AM87" s="280">
        <v>2059</v>
      </c>
      <c r="AN87" s="280">
        <v>2060</v>
      </c>
    </row>
    <row r="88" spans="1:40" x14ac:dyDescent="0.25">
      <c r="A88" s="277" t="s">
        <v>194</v>
      </c>
      <c r="B88" s="291">
        <v>3.125</v>
      </c>
      <c r="C88" s="291">
        <v>3.125</v>
      </c>
      <c r="D88" s="291">
        <v>3.125</v>
      </c>
      <c r="E88" s="291">
        <v>3.125</v>
      </c>
      <c r="F88" s="291">
        <v>3.125</v>
      </c>
      <c r="G88" s="291">
        <v>3.125</v>
      </c>
      <c r="H88" s="291">
        <v>3.125</v>
      </c>
      <c r="I88" s="291">
        <v>3.125</v>
      </c>
      <c r="J88" s="291">
        <v>3.125</v>
      </c>
      <c r="K88" s="291">
        <v>3.125</v>
      </c>
      <c r="L88" s="291">
        <v>3.125</v>
      </c>
      <c r="M88" s="291">
        <v>3.125</v>
      </c>
      <c r="N88" s="291">
        <v>3.125</v>
      </c>
      <c r="O88" s="291">
        <v>3.125</v>
      </c>
      <c r="P88" s="291">
        <v>3.125</v>
      </c>
      <c r="Q88" s="291">
        <v>3.125</v>
      </c>
      <c r="R88" s="291">
        <v>3.125</v>
      </c>
      <c r="S88" s="291">
        <v>3.125</v>
      </c>
      <c r="T88" s="291">
        <v>3.125</v>
      </c>
      <c r="U88" s="291">
        <v>3.125</v>
      </c>
      <c r="V88" s="291">
        <v>3.125</v>
      </c>
      <c r="W88" s="291">
        <v>3.125</v>
      </c>
      <c r="X88" s="291">
        <v>3.125</v>
      </c>
      <c r="Y88" s="291">
        <v>3.125</v>
      </c>
      <c r="Z88" s="291">
        <v>3.125</v>
      </c>
      <c r="AA88" s="291">
        <v>3.125</v>
      </c>
      <c r="AB88" s="291">
        <v>3.125</v>
      </c>
      <c r="AC88" s="291">
        <v>3.125</v>
      </c>
      <c r="AD88" s="291">
        <v>3.125</v>
      </c>
      <c r="AE88" s="291">
        <v>3.125</v>
      </c>
      <c r="AF88" s="291">
        <v>3.125</v>
      </c>
      <c r="AG88" s="291">
        <v>3.125</v>
      </c>
      <c r="AH88" s="291">
        <v>3.125</v>
      </c>
      <c r="AI88" s="291">
        <v>3.125</v>
      </c>
      <c r="AJ88" s="291">
        <v>3.125</v>
      </c>
      <c r="AK88" s="291">
        <v>3.125</v>
      </c>
      <c r="AL88" s="291">
        <v>3.125</v>
      </c>
      <c r="AM88" s="291">
        <v>3.125</v>
      </c>
      <c r="AN88" s="291">
        <v>3.125</v>
      </c>
    </row>
    <row r="89" spans="1:40" x14ac:dyDescent="0.25">
      <c r="A89" s="277" t="s">
        <v>195</v>
      </c>
      <c r="B89" s="291">
        <v>4.716981132075472E-2</v>
      </c>
      <c r="C89" s="291">
        <v>4.716981132075472E-2</v>
      </c>
      <c r="D89" s="291">
        <v>4.716981132075472E-2</v>
      </c>
      <c r="E89" s="291">
        <v>4.716981132075472E-2</v>
      </c>
      <c r="F89" s="291">
        <v>4.716981132075472E-2</v>
      </c>
      <c r="G89" s="291">
        <v>4.716981132075472E-2</v>
      </c>
      <c r="H89" s="291">
        <v>4.716981132075472E-2</v>
      </c>
      <c r="I89" s="291">
        <v>4.716981132075472E-2</v>
      </c>
      <c r="J89" s="291">
        <v>4.716981132075472E-2</v>
      </c>
      <c r="K89" s="291">
        <v>4.716981132075472E-2</v>
      </c>
      <c r="L89" s="291">
        <v>4.716981132075472E-2</v>
      </c>
      <c r="M89" s="291">
        <v>4.716981132075472E-2</v>
      </c>
      <c r="N89" s="291">
        <v>4.716981132075472E-2</v>
      </c>
      <c r="O89" s="291">
        <v>4.716981132075472E-2</v>
      </c>
      <c r="P89" s="291">
        <v>4.716981132075472E-2</v>
      </c>
      <c r="Q89" s="291">
        <v>4.716981132075472E-2</v>
      </c>
      <c r="R89" s="291">
        <v>4.716981132075472E-2</v>
      </c>
      <c r="S89" s="291">
        <v>4.716981132075472E-2</v>
      </c>
      <c r="T89" s="291">
        <v>4.716981132075472E-2</v>
      </c>
      <c r="U89" s="291">
        <v>4.716981132075472E-2</v>
      </c>
      <c r="V89" s="291">
        <v>4.716981132075472E-2</v>
      </c>
      <c r="W89" s="291">
        <v>4.716981132075472E-2</v>
      </c>
      <c r="X89" s="291">
        <v>4.716981132075472E-2</v>
      </c>
      <c r="Y89" s="291">
        <v>4.716981132075472E-2</v>
      </c>
      <c r="Z89" s="291">
        <v>4.716981132075472E-2</v>
      </c>
      <c r="AA89" s="291">
        <v>4.716981132075472E-2</v>
      </c>
      <c r="AB89" s="291">
        <v>4.716981132075472E-2</v>
      </c>
      <c r="AC89" s="291">
        <v>4.716981132075472E-2</v>
      </c>
      <c r="AD89" s="291">
        <v>4.716981132075472E-2</v>
      </c>
      <c r="AE89" s="291">
        <v>4.716981132075472E-2</v>
      </c>
      <c r="AF89" s="291">
        <v>4.716981132075472E-2</v>
      </c>
      <c r="AG89" s="291">
        <v>4.716981132075472E-2</v>
      </c>
      <c r="AH89" s="291">
        <v>4.716981132075472E-2</v>
      </c>
      <c r="AI89" s="291">
        <v>4.716981132075472E-2</v>
      </c>
      <c r="AJ89" s="291">
        <v>4.716981132075472E-2</v>
      </c>
      <c r="AK89" s="291">
        <v>4.716981132075472E-2</v>
      </c>
      <c r="AL89" s="291">
        <v>4.716981132075472E-2</v>
      </c>
      <c r="AM89" s="291">
        <v>4.716981132075472E-2</v>
      </c>
      <c r="AN89" s="291">
        <v>4.716981132075472E-2</v>
      </c>
    </row>
    <row r="90" spans="1:40" x14ac:dyDescent="0.25">
      <c r="A90" s="277" t="s">
        <v>196</v>
      </c>
      <c r="B90" s="291">
        <v>904.53996598131698</v>
      </c>
      <c r="C90" s="291">
        <v>924.19661066923197</v>
      </c>
      <c r="D90" s="291">
        <v>689.29360549790704</v>
      </c>
      <c r="E90" s="291">
        <v>670.89800891090101</v>
      </c>
      <c r="F90" s="291">
        <v>666.34719274236397</v>
      </c>
      <c r="G90" s="291">
        <v>643.73931290952999</v>
      </c>
      <c r="H90" s="291">
        <v>619.49348990403803</v>
      </c>
      <c r="I90" s="291">
        <v>593.75483542906204</v>
      </c>
      <c r="J90" s="291">
        <v>552.49094879337804</v>
      </c>
      <c r="K90" s="291">
        <v>539.617511029664</v>
      </c>
      <c r="L90" s="291">
        <v>525.90821009463195</v>
      </c>
      <c r="M90" s="291">
        <v>511.63405221061299</v>
      </c>
      <c r="N90" s="291">
        <v>497.48978707070802</v>
      </c>
      <c r="O90" s="291">
        <v>483.09798588693002</v>
      </c>
      <c r="P90" s="291">
        <v>469.03895938813002</v>
      </c>
      <c r="Q90" s="291">
        <v>455.29595523017503</v>
      </c>
      <c r="R90" s="291">
        <v>441.62505587922499</v>
      </c>
      <c r="S90" s="291">
        <v>428.159274618062</v>
      </c>
      <c r="T90" s="291">
        <v>414.94463739282003</v>
      </c>
      <c r="U90" s="291">
        <v>402.60513379236698</v>
      </c>
      <c r="V90" s="291">
        <v>390.73448773095902</v>
      </c>
      <c r="W90" s="291">
        <v>379.29953643416002</v>
      </c>
      <c r="X90" s="291">
        <v>368.87649355694901</v>
      </c>
      <c r="Y90" s="291">
        <v>359.283025869428</v>
      </c>
      <c r="Z90" s="291">
        <v>350.84147431618499</v>
      </c>
      <c r="AA90" s="291">
        <v>342.61184408521899</v>
      </c>
      <c r="AB90" s="291">
        <v>334.69056567835202</v>
      </c>
      <c r="AC90" s="291">
        <v>327.06205887219602</v>
      </c>
      <c r="AD90" s="291">
        <v>319.46974400392702</v>
      </c>
      <c r="AE90" s="291">
        <v>310.98653204570599</v>
      </c>
      <c r="AF90" s="291">
        <v>301.677530384627</v>
      </c>
      <c r="AG90" s="291">
        <v>291.50467105321599</v>
      </c>
      <c r="AH90" s="291">
        <v>280.51090033854399</v>
      </c>
      <c r="AI90" s="291">
        <v>268.65682377608601</v>
      </c>
      <c r="AJ90" s="291">
        <v>255.807650285801</v>
      </c>
      <c r="AK90" s="291">
        <v>242.262794663671</v>
      </c>
      <c r="AL90" s="291">
        <v>227.89435976093401</v>
      </c>
      <c r="AM90" s="291">
        <v>212.75865124403899</v>
      </c>
      <c r="AN90" s="291">
        <v>196.83995646435</v>
      </c>
    </row>
    <row r="91" spans="1:40" x14ac:dyDescent="0.25">
      <c r="A91" s="277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  <c r="AL91" s="278"/>
      <c r="AM91" s="278"/>
      <c r="AN91" s="278"/>
    </row>
    <row r="92" spans="1:40" x14ac:dyDescent="0.25">
      <c r="A92" s="277" t="s">
        <v>256</v>
      </c>
      <c r="B92" s="280">
        <v>2022</v>
      </c>
      <c r="C92" s="280">
        <v>2023</v>
      </c>
      <c r="D92" s="280">
        <v>2024</v>
      </c>
      <c r="E92" s="280">
        <v>2025</v>
      </c>
      <c r="F92" s="280">
        <v>2026</v>
      </c>
      <c r="G92" s="280">
        <v>2027</v>
      </c>
      <c r="H92" s="280">
        <v>2028</v>
      </c>
      <c r="I92" s="280">
        <v>2029</v>
      </c>
      <c r="J92" s="280">
        <v>2030</v>
      </c>
      <c r="K92" s="280">
        <v>2031</v>
      </c>
      <c r="L92" s="280">
        <v>2032</v>
      </c>
      <c r="M92" s="280">
        <v>2033</v>
      </c>
      <c r="N92" s="280">
        <v>2034</v>
      </c>
      <c r="O92" s="280">
        <v>2035</v>
      </c>
      <c r="P92" s="280">
        <v>2036</v>
      </c>
      <c r="Q92" s="280">
        <v>2037</v>
      </c>
      <c r="R92" s="280">
        <v>2038</v>
      </c>
      <c r="S92" s="280">
        <v>2039</v>
      </c>
      <c r="T92" s="280">
        <v>2040</v>
      </c>
      <c r="U92" s="280">
        <v>2041</v>
      </c>
      <c r="V92" s="280">
        <v>2042</v>
      </c>
      <c r="W92" s="280">
        <v>2043</v>
      </c>
      <c r="X92" s="280">
        <v>2044</v>
      </c>
      <c r="Y92" s="280">
        <v>2045</v>
      </c>
      <c r="Z92" s="280">
        <v>2046</v>
      </c>
      <c r="AA92" s="280">
        <v>2047</v>
      </c>
      <c r="AB92" s="280">
        <v>2048</v>
      </c>
      <c r="AC92" s="280">
        <v>2049</v>
      </c>
      <c r="AD92" s="280">
        <v>2050</v>
      </c>
      <c r="AE92" s="280">
        <v>2051</v>
      </c>
      <c r="AF92" s="280">
        <v>2052</v>
      </c>
      <c r="AG92" s="280">
        <v>2053</v>
      </c>
      <c r="AH92" s="280">
        <v>2054</v>
      </c>
      <c r="AI92" s="280">
        <v>2055</v>
      </c>
      <c r="AJ92" s="280">
        <v>2056</v>
      </c>
      <c r="AK92" s="280">
        <v>2057</v>
      </c>
      <c r="AL92" s="280">
        <v>2058</v>
      </c>
      <c r="AM92" s="280">
        <v>2059</v>
      </c>
      <c r="AN92" s="280">
        <v>2060</v>
      </c>
    </row>
    <row r="93" spans="1:40" x14ac:dyDescent="0.25">
      <c r="A93" s="277" t="s">
        <v>194</v>
      </c>
      <c r="B93" s="291">
        <v>2.3669369051815297</v>
      </c>
      <c r="C93" s="291">
        <v>2.3669369051815297</v>
      </c>
      <c r="D93" s="291">
        <v>2.3669369051815297</v>
      </c>
      <c r="E93" s="291">
        <v>2.3669369051815297</v>
      </c>
      <c r="F93" s="291">
        <v>2.3669369051815297</v>
      </c>
      <c r="G93" s="291">
        <v>2.3669369051815297</v>
      </c>
      <c r="H93" s="291">
        <v>2.3669369051815297</v>
      </c>
      <c r="I93" s="291">
        <v>2.3669369051815297</v>
      </c>
      <c r="J93" s="291">
        <v>2.3669369051815297</v>
      </c>
      <c r="K93" s="291">
        <v>2.3669369051815297</v>
      </c>
      <c r="L93" s="291">
        <v>2.3669369051815297</v>
      </c>
      <c r="M93" s="291">
        <v>2.3669369051815297</v>
      </c>
      <c r="N93" s="291">
        <v>2.3669369051815297</v>
      </c>
      <c r="O93" s="291">
        <v>2.3669369051815297</v>
      </c>
      <c r="P93" s="291">
        <v>2.3669369051815297</v>
      </c>
      <c r="Q93" s="291">
        <v>2.3669369051815297</v>
      </c>
      <c r="R93" s="291">
        <v>2.3669369051815297</v>
      </c>
      <c r="S93" s="291">
        <v>2.3669369051815297</v>
      </c>
      <c r="T93" s="291">
        <v>2.3669369051815297</v>
      </c>
      <c r="U93" s="291">
        <v>2.3669369051815297</v>
      </c>
      <c r="V93" s="291">
        <v>2.3669369051815297</v>
      </c>
      <c r="W93" s="291">
        <v>2.3669369051815297</v>
      </c>
      <c r="X93" s="291">
        <v>2.3669369051815297</v>
      </c>
      <c r="Y93" s="291">
        <v>2.3669369051815297</v>
      </c>
      <c r="Z93" s="291">
        <v>2.3669369051815297</v>
      </c>
      <c r="AA93" s="291">
        <v>2.3669369051815297</v>
      </c>
      <c r="AB93" s="291">
        <v>2.3669369051815297</v>
      </c>
      <c r="AC93" s="291">
        <v>2.3669369051815297</v>
      </c>
      <c r="AD93" s="291">
        <v>2.3669369051815297</v>
      </c>
      <c r="AE93" s="291">
        <v>2.3669369051815297</v>
      </c>
      <c r="AF93" s="291">
        <v>2.3669369051815297</v>
      </c>
      <c r="AG93" s="291">
        <v>2.3669369051815297</v>
      </c>
      <c r="AH93" s="291">
        <v>2.3669369051815297</v>
      </c>
      <c r="AI93" s="291">
        <v>2.3669369051815297</v>
      </c>
      <c r="AJ93" s="291">
        <v>2.3669369051815297</v>
      </c>
      <c r="AK93" s="291">
        <v>2.3669369051815297</v>
      </c>
      <c r="AL93" s="291">
        <v>2.3669369051815297</v>
      </c>
      <c r="AM93" s="291">
        <v>2.3669369051815297</v>
      </c>
      <c r="AN93" s="291">
        <v>2.3669369051815297</v>
      </c>
    </row>
    <row r="94" spans="1:40" x14ac:dyDescent="0.25">
      <c r="A94" s="277" t="s">
        <v>195</v>
      </c>
      <c r="B94" s="291">
        <v>3.7715897074374338E-2</v>
      </c>
      <c r="C94" s="291">
        <v>3.7715897074374338E-2</v>
      </c>
      <c r="D94" s="291">
        <v>3.7715897074374338E-2</v>
      </c>
      <c r="E94" s="291">
        <v>3.7715897074374338E-2</v>
      </c>
      <c r="F94" s="291">
        <v>3.7715897074374338E-2</v>
      </c>
      <c r="G94" s="291">
        <v>3.7715897074374338E-2</v>
      </c>
      <c r="H94" s="291">
        <v>3.7715897074374338E-2</v>
      </c>
      <c r="I94" s="291">
        <v>3.7715897074374338E-2</v>
      </c>
      <c r="J94" s="291">
        <v>3.7715897074374338E-2</v>
      </c>
      <c r="K94" s="291">
        <v>3.7715897074374338E-2</v>
      </c>
      <c r="L94" s="291">
        <v>3.7715897074374338E-2</v>
      </c>
      <c r="M94" s="291">
        <v>3.7715897074374338E-2</v>
      </c>
      <c r="N94" s="291">
        <v>3.7715897074374338E-2</v>
      </c>
      <c r="O94" s="291">
        <v>3.7715897074374338E-2</v>
      </c>
      <c r="P94" s="291">
        <v>3.7715897074374338E-2</v>
      </c>
      <c r="Q94" s="291">
        <v>3.7715897074374338E-2</v>
      </c>
      <c r="R94" s="291">
        <v>3.7715897074374338E-2</v>
      </c>
      <c r="S94" s="291">
        <v>3.7715897074374338E-2</v>
      </c>
      <c r="T94" s="291">
        <v>3.7715897074374338E-2</v>
      </c>
      <c r="U94" s="291">
        <v>3.7715897074374338E-2</v>
      </c>
      <c r="V94" s="291">
        <v>3.7715897074374338E-2</v>
      </c>
      <c r="W94" s="291">
        <v>3.7715897074374338E-2</v>
      </c>
      <c r="X94" s="291">
        <v>3.7715897074374338E-2</v>
      </c>
      <c r="Y94" s="291">
        <v>3.7715897074374338E-2</v>
      </c>
      <c r="Z94" s="291">
        <v>3.7715897074374338E-2</v>
      </c>
      <c r="AA94" s="291">
        <v>3.7715897074374338E-2</v>
      </c>
      <c r="AB94" s="291">
        <v>3.7715897074374338E-2</v>
      </c>
      <c r="AC94" s="291">
        <v>3.7715897074374338E-2</v>
      </c>
      <c r="AD94" s="291">
        <v>3.7715897074374338E-2</v>
      </c>
      <c r="AE94" s="291">
        <v>3.7715897074374338E-2</v>
      </c>
      <c r="AF94" s="291">
        <v>3.7715897074374338E-2</v>
      </c>
      <c r="AG94" s="291">
        <v>3.7715897074374338E-2</v>
      </c>
      <c r="AH94" s="291">
        <v>3.7715897074374338E-2</v>
      </c>
      <c r="AI94" s="291">
        <v>3.7715897074374338E-2</v>
      </c>
      <c r="AJ94" s="291">
        <v>3.7715897074374338E-2</v>
      </c>
      <c r="AK94" s="291">
        <v>3.7715897074374338E-2</v>
      </c>
      <c r="AL94" s="291">
        <v>3.7715897074374338E-2</v>
      </c>
      <c r="AM94" s="291">
        <v>3.7715897074374338E-2</v>
      </c>
      <c r="AN94" s="291">
        <v>3.7715897074374338E-2</v>
      </c>
    </row>
    <row r="95" spans="1:40" x14ac:dyDescent="0.25">
      <c r="A95" s="277" t="s">
        <v>196</v>
      </c>
      <c r="B95" s="291">
        <v>782.18207763797204</v>
      </c>
      <c r="C95" s="291">
        <v>799.17975132804997</v>
      </c>
      <c r="D95" s="291">
        <v>596.05227488871105</v>
      </c>
      <c r="E95" s="291">
        <v>580.14506625342995</v>
      </c>
      <c r="F95" s="291">
        <v>576.20984284758197</v>
      </c>
      <c r="G95" s="291">
        <v>556.66015009359705</v>
      </c>
      <c r="H95" s="291">
        <v>535.69408012906604</v>
      </c>
      <c r="I95" s="291">
        <v>513.43711527400706</v>
      </c>
      <c r="J95" s="291">
        <v>477.75502957964898</v>
      </c>
      <c r="K95" s="291">
        <v>466.62299266026201</v>
      </c>
      <c r="L95" s="291">
        <v>454.76816048964099</v>
      </c>
      <c r="M95" s="291">
        <v>442.42488004858097</v>
      </c>
      <c r="N95" s="291">
        <v>430.19392164997601</v>
      </c>
      <c r="O95" s="291">
        <v>417.74891161808898</v>
      </c>
      <c r="P95" s="291">
        <v>405.591661557316</v>
      </c>
      <c r="Q95" s="291">
        <v>393.70768522732101</v>
      </c>
      <c r="R95" s="291">
        <v>381.886060025934</v>
      </c>
      <c r="S95" s="291">
        <v>370.24180641636798</v>
      </c>
      <c r="T95" s="291">
        <v>358.814724375987</v>
      </c>
      <c r="U95" s="291">
        <v>348.14439589276401</v>
      </c>
      <c r="V95" s="291">
        <v>337.87950219163997</v>
      </c>
      <c r="W95" s="291">
        <v>327.99136645480098</v>
      </c>
      <c r="X95" s="291">
        <v>318.97825742742702</v>
      </c>
      <c r="Y95" s="291">
        <v>310.68250625026599</v>
      </c>
      <c r="Z95" s="291">
        <v>303.382850534954</v>
      </c>
      <c r="AA95" s="291">
        <v>296.26644936492301</v>
      </c>
      <c r="AB95" s="291">
        <v>289.41668900623102</v>
      </c>
      <c r="AC95" s="291">
        <v>282.82009678551998</v>
      </c>
      <c r="AD95" s="291">
        <v>276.25480078856299</v>
      </c>
      <c r="AE95" s="291">
        <v>268.919120106587</v>
      </c>
      <c r="AF95" s="291">
        <v>260.86935499521502</v>
      </c>
      <c r="AG95" s="291">
        <v>252.07258697321899</v>
      </c>
      <c r="AH95" s="291">
        <v>242.565952946995</v>
      </c>
      <c r="AI95" s="291">
        <v>232.31538737464399</v>
      </c>
      <c r="AJ95" s="291">
        <v>221.20433247984101</v>
      </c>
      <c r="AK95" s="291">
        <v>209.49170096517901</v>
      </c>
      <c r="AL95" s="291">
        <v>197.06689643767999</v>
      </c>
      <c r="AM95" s="291">
        <v>183.978608048539</v>
      </c>
      <c r="AN95" s="291">
        <v>170.21324861242601</v>
      </c>
    </row>
    <row r="96" spans="1:40" x14ac:dyDescent="0.25">
      <c r="A96" s="277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  <c r="AL96" s="278"/>
      <c r="AM96" s="278"/>
      <c r="AN96" s="278"/>
    </row>
    <row r="97" spans="1:40" x14ac:dyDescent="0.25">
      <c r="A97" s="277" t="s">
        <v>257</v>
      </c>
      <c r="B97" s="280">
        <v>2022</v>
      </c>
      <c r="C97" s="280">
        <v>2023</v>
      </c>
      <c r="D97" s="280">
        <v>2024</v>
      </c>
      <c r="E97" s="280">
        <v>2025</v>
      </c>
      <c r="F97" s="280">
        <v>2026</v>
      </c>
      <c r="G97" s="280">
        <v>2027</v>
      </c>
      <c r="H97" s="280">
        <v>2028</v>
      </c>
      <c r="I97" s="280">
        <v>2029</v>
      </c>
      <c r="J97" s="280">
        <v>2030</v>
      </c>
      <c r="K97" s="280">
        <v>2031</v>
      </c>
      <c r="L97" s="280">
        <v>2032</v>
      </c>
      <c r="M97" s="280">
        <v>2033</v>
      </c>
      <c r="N97" s="280">
        <v>2034</v>
      </c>
      <c r="O97" s="280">
        <v>2035</v>
      </c>
      <c r="P97" s="280">
        <v>2036</v>
      </c>
      <c r="Q97" s="280">
        <v>2037</v>
      </c>
      <c r="R97" s="280">
        <v>2038</v>
      </c>
      <c r="S97" s="280">
        <v>2039</v>
      </c>
      <c r="T97" s="280">
        <v>2040</v>
      </c>
      <c r="U97" s="280">
        <v>2041</v>
      </c>
      <c r="V97" s="280">
        <v>2042</v>
      </c>
      <c r="W97" s="280">
        <v>2043</v>
      </c>
      <c r="X97" s="280">
        <v>2044</v>
      </c>
      <c r="Y97" s="280">
        <v>2045</v>
      </c>
      <c r="Z97" s="280">
        <v>2046</v>
      </c>
      <c r="AA97" s="280">
        <v>2047</v>
      </c>
      <c r="AB97" s="280">
        <v>2048</v>
      </c>
      <c r="AC97" s="280">
        <v>2049</v>
      </c>
      <c r="AD97" s="280">
        <v>2050</v>
      </c>
      <c r="AE97" s="280">
        <v>2051</v>
      </c>
      <c r="AF97" s="280">
        <v>2052</v>
      </c>
      <c r="AG97" s="280">
        <v>2053</v>
      </c>
      <c r="AH97" s="280">
        <v>2054</v>
      </c>
      <c r="AI97" s="280">
        <v>2055</v>
      </c>
      <c r="AJ97" s="280">
        <v>2056</v>
      </c>
      <c r="AK97" s="280">
        <v>2057</v>
      </c>
      <c r="AL97" s="280">
        <v>2058</v>
      </c>
      <c r="AM97" s="280">
        <v>2059</v>
      </c>
      <c r="AN97" s="280">
        <v>2060</v>
      </c>
    </row>
    <row r="98" spans="1:40" x14ac:dyDescent="0.25">
      <c r="A98" s="277" t="s">
        <v>194</v>
      </c>
      <c r="B98" s="291">
        <v>3.125</v>
      </c>
      <c r="C98" s="291">
        <v>3.125</v>
      </c>
      <c r="D98" s="291">
        <v>3.125</v>
      </c>
      <c r="E98" s="291">
        <v>3.125</v>
      </c>
      <c r="F98" s="291">
        <v>3.125</v>
      </c>
      <c r="G98" s="291">
        <v>3.125</v>
      </c>
      <c r="H98" s="291">
        <v>3.125</v>
      </c>
      <c r="I98" s="291">
        <v>3.125</v>
      </c>
      <c r="J98" s="291">
        <v>3.125</v>
      </c>
      <c r="K98" s="291">
        <v>3.125</v>
      </c>
      <c r="L98" s="291">
        <v>3.125</v>
      </c>
      <c r="M98" s="291">
        <v>3.125</v>
      </c>
      <c r="N98" s="291">
        <v>3.125</v>
      </c>
      <c r="O98" s="291">
        <v>3.125</v>
      </c>
      <c r="P98" s="291">
        <v>3.125</v>
      </c>
      <c r="Q98" s="291">
        <v>3.125</v>
      </c>
      <c r="R98" s="291">
        <v>3.125</v>
      </c>
      <c r="S98" s="291">
        <v>3.125</v>
      </c>
      <c r="T98" s="291">
        <v>3.125</v>
      </c>
      <c r="U98" s="291">
        <v>3.125</v>
      </c>
      <c r="V98" s="291">
        <v>3.125</v>
      </c>
      <c r="W98" s="291">
        <v>3.125</v>
      </c>
      <c r="X98" s="291">
        <v>3.125</v>
      </c>
      <c r="Y98" s="291">
        <v>3.125</v>
      </c>
      <c r="Z98" s="291">
        <v>3.125</v>
      </c>
      <c r="AA98" s="291">
        <v>3.125</v>
      </c>
      <c r="AB98" s="291">
        <v>3.125</v>
      </c>
      <c r="AC98" s="291">
        <v>3.125</v>
      </c>
      <c r="AD98" s="291">
        <v>3.125</v>
      </c>
      <c r="AE98" s="291">
        <v>3.125</v>
      </c>
      <c r="AF98" s="291">
        <v>3.125</v>
      </c>
      <c r="AG98" s="291">
        <v>3.125</v>
      </c>
      <c r="AH98" s="291">
        <v>3.125</v>
      </c>
      <c r="AI98" s="291">
        <v>3.125</v>
      </c>
      <c r="AJ98" s="291">
        <v>3.125</v>
      </c>
      <c r="AK98" s="291">
        <v>3.125</v>
      </c>
      <c r="AL98" s="291">
        <v>3.125</v>
      </c>
      <c r="AM98" s="291">
        <v>3.125</v>
      </c>
      <c r="AN98" s="291">
        <v>3.125</v>
      </c>
    </row>
    <row r="99" spans="1:40" x14ac:dyDescent="0.25">
      <c r="A99" s="277" t="s">
        <v>195</v>
      </c>
      <c r="B99" s="291">
        <v>4.716981132075472E-2</v>
      </c>
      <c r="C99" s="291">
        <v>4.716981132075472E-2</v>
      </c>
      <c r="D99" s="291">
        <v>4.716981132075472E-2</v>
      </c>
      <c r="E99" s="291">
        <v>4.716981132075472E-2</v>
      </c>
      <c r="F99" s="291">
        <v>4.716981132075472E-2</v>
      </c>
      <c r="G99" s="291">
        <v>4.716981132075472E-2</v>
      </c>
      <c r="H99" s="291">
        <v>4.716981132075472E-2</v>
      </c>
      <c r="I99" s="291">
        <v>4.716981132075472E-2</v>
      </c>
      <c r="J99" s="291">
        <v>4.716981132075472E-2</v>
      </c>
      <c r="K99" s="291">
        <v>4.716981132075472E-2</v>
      </c>
      <c r="L99" s="291">
        <v>4.716981132075472E-2</v>
      </c>
      <c r="M99" s="291">
        <v>4.716981132075472E-2</v>
      </c>
      <c r="N99" s="291">
        <v>4.716981132075472E-2</v>
      </c>
      <c r="O99" s="291">
        <v>4.716981132075472E-2</v>
      </c>
      <c r="P99" s="291">
        <v>4.716981132075472E-2</v>
      </c>
      <c r="Q99" s="291">
        <v>4.716981132075472E-2</v>
      </c>
      <c r="R99" s="291">
        <v>4.716981132075472E-2</v>
      </c>
      <c r="S99" s="291">
        <v>4.716981132075472E-2</v>
      </c>
      <c r="T99" s="291">
        <v>4.716981132075472E-2</v>
      </c>
      <c r="U99" s="291">
        <v>4.716981132075472E-2</v>
      </c>
      <c r="V99" s="291">
        <v>4.716981132075472E-2</v>
      </c>
      <c r="W99" s="291">
        <v>4.716981132075472E-2</v>
      </c>
      <c r="X99" s="291">
        <v>4.716981132075472E-2</v>
      </c>
      <c r="Y99" s="291">
        <v>4.716981132075472E-2</v>
      </c>
      <c r="Z99" s="291">
        <v>4.716981132075472E-2</v>
      </c>
      <c r="AA99" s="291">
        <v>4.716981132075472E-2</v>
      </c>
      <c r="AB99" s="291">
        <v>4.716981132075472E-2</v>
      </c>
      <c r="AC99" s="291">
        <v>4.716981132075472E-2</v>
      </c>
      <c r="AD99" s="291">
        <v>4.716981132075472E-2</v>
      </c>
      <c r="AE99" s="291">
        <v>4.716981132075472E-2</v>
      </c>
      <c r="AF99" s="291">
        <v>4.716981132075472E-2</v>
      </c>
      <c r="AG99" s="291">
        <v>4.716981132075472E-2</v>
      </c>
      <c r="AH99" s="291">
        <v>4.716981132075472E-2</v>
      </c>
      <c r="AI99" s="291">
        <v>4.716981132075472E-2</v>
      </c>
      <c r="AJ99" s="291">
        <v>4.716981132075472E-2</v>
      </c>
      <c r="AK99" s="291">
        <v>4.716981132075472E-2</v>
      </c>
      <c r="AL99" s="291">
        <v>4.716981132075472E-2</v>
      </c>
      <c r="AM99" s="291">
        <v>4.716981132075472E-2</v>
      </c>
      <c r="AN99" s="291">
        <v>4.716981132075472E-2</v>
      </c>
    </row>
    <row r="100" spans="1:40" x14ac:dyDescent="0.25">
      <c r="A100" s="277" t="s">
        <v>196</v>
      </c>
      <c r="B100" s="291">
        <v>1322.3365073137199</v>
      </c>
      <c r="C100" s="291">
        <v>1344.76659418027</v>
      </c>
      <c r="D100" s="291">
        <v>984.47256684869205</v>
      </c>
      <c r="E100" s="291">
        <v>949.97804515345899</v>
      </c>
      <c r="F100" s="291">
        <v>935.56038092570998</v>
      </c>
      <c r="G100" s="291">
        <v>896.88891194729399</v>
      </c>
      <c r="H100" s="291">
        <v>858.50626085169904</v>
      </c>
      <c r="I100" s="291">
        <v>820.08561534998398</v>
      </c>
      <c r="J100" s="291">
        <v>760.87853333307896</v>
      </c>
      <c r="K100" s="291">
        <v>744.05280054537502</v>
      </c>
      <c r="L100" s="291">
        <v>727.93227932221703</v>
      </c>
      <c r="M100" s="291">
        <v>712.01002790919199</v>
      </c>
      <c r="N100" s="291">
        <v>697.04816048396401</v>
      </c>
      <c r="O100" s="291">
        <v>682.64229324025303</v>
      </c>
      <c r="P100" s="291">
        <v>668.81273590912394</v>
      </c>
      <c r="Q100" s="291">
        <v>656.27879264429498</v>
      </c>
      <c r="R100" s="291">
        <v>644.23240832711394</v>
      </c>
      <c r="S100" s="291">
        <v>633.03265284549605</v>
      </c>
      <c r="T100" s="291">
        <v>622.53286433738901</v>
      </c>
      <c r="U100" s="291">
        <v>612.29609637829299</v>
      </c>
      <c r="V100" s="291">
        <v>601.46384171371301</v>
      </c>
      <c r="W100" s="291">
        <v>589.64888990110103</v>
      </c>
      <c r="X100" s="291">
        <v>577.33623503985496</v>
      </c>
      <c r="Y100" s="291">
        <v>564.22822310334698</v>
      </c>
      <c r="Z100" s="291">
        <v>551.00440486198102</v>
      </c>
      <c r="AA100" s="291">
        <v>538.50022503345497</v>
      </c>
      <c r="AB100" s="291">
        <v>526.52731324207195</v>
      </c>
      <c r="AC100" s="291">
        <v>514.70371069631904</v>
      </c>
      <c r="AD100" s="291">
        <v>503.27614857608103</v>
      </c>
      <c r="AE100" s="291">
        <v>492.04261711514698</v>
      </c>
      <c r="AF100" s="291">
        <v>481.40302844364197</v>
      </c>
      <c r="AG100" s="291">
        <v>471.44277445686498</v>
      </c>
      <c r="AH100" s="291">
        <v>461.66229560883602</v>
      </c>
      <c r="AI100" s="291">
        <v>451.781429582361</v>
      </c>
      <c r="AJ100" s="291">
        <v>441.24041503844001</v>
      </c>
      <c r="AK100" s="291">
        <v>429.34453937452702</v>
      </c>
      <c r="AL100" s="291">
        <v>416.01351860011198</v>
      </c>
      <c r="AM100" s="291">
        <v>401.16535229840298</v>
      </c>
      <c r="AN100" s="291">
        <v>384.52626536098001</v>
      </c>
    </row>
    <row r="101" spans="1:40" x14ac:dyDescent="0.25">
      <c r="A101" s="277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  <c r="AK101" s="278"/>
      <c r="AL101" s="278"/>
      <c r="AM101" s="278"/>
      <c r="AN101" s="278"/>
    </row>
    <row r="102" spans="1:40" x14ac:dyDescent="0.25">
      <c r="A102" s="277" t="s">
        <v>258</v>
      </c>
      <c r="B102" s="280">
        <v>2022</v>
      </c>
      <c r="C102" s="280">
        <v>2023</v>
      </c>
      <c r="D102" s="280">
        <v>2024</v>
      </c>
      <c r="E102" s="280">
        <v>2025</v>
      </c>
      <c r="F102" s="280">
        <v>2026</v>
      </c>
      <c r="G102" s="280">
        <v>2027</v>
      </c>
      <c r="H102" s="280">
        <v>2028</v>
      </c>
      <c r="I102" s="280">
        <v>2029</v>
      </c>
      <c r="J102" s="280">
        <v>2030</v>
      </c>
      <c r="K102" s="280">
        <v>2031</v>
      </c>
      <c r="L102" s="280">
        <v>2032</v>
      </c>
      <c r="M102" s="280">
        <v>2033</v>
      </c>
      <c r="N102" s="280">
        <v>2034</v>
      </c>
      <c r="O102" s="280">
        <v>2035</v>
      </c>
      <c r="P102" s="280">
        <v>2036</v>
      </c>
      <c r="Q102" s="280">
        <v>2037</v>
      </c>
      <c r="R102" s="280">
        <v>2038</v>
      </c>
      <c r="S102" s="280">
        <v>2039</v>
      </c>
      <c r="T102" s="280">
        <v>2040</v>
      </c>
      <c r="U102" s="280">
        <v>2041</v>
      </c>
      <c r="V102" s="280">
        <v>2042</v>
      </c>
      <c r="W102" s="280">
        <v>2043</v>
      </c>
      <c r="X102" s="280">
        <v>2044</v>
      </c>
      <c r="Y102" s="280">
        <v>2045</v>
      </c>
      <c r="Z102" s="280">
        <v>2046</v>
      </c>
      <c r="AA102" s="280">
        <v>2047</v>
      </c>
      <c r="AB102" s="280">
        <v>2048</v>
      </c>
      <c r="AC102" s="280">
        <v>2049</v>
      </c>
      <c r="AD102" s="280">
        <v>2050</v>
      </c>
      <c r="AE102" s="280">
        <v>2051</v>
      </c>
      <c r="AF102" s="280">
        <v>2052</v>
      </c>
      <c r="AG102" s="280">
        <v>2053</v>
      </c>
      <c r="AH102" s="280">
        <v>2054</v>
      </c>
      <c r="AI102" s="280">
        <v>2055</v>
      </c>
      <c r="AJ102" s="280">
        <v>2056</v>
      </c>
      <c r="AK102" s="280">
        <v>2057</v>
      </c>
      <c r="AL102" s="280">
        <v>2058</v>
      </c>
      <c r="AM102" s="280">
        <v>2059</v>
      </c>
      <c r="AN102" s="280">
        <v>2060</v>
      </c>
    </row>
    <row r="103" spans="1:40" x14ac:dyDescent="0.25">
      <c r="A103" s="277" t="s">
        <v>194</v>
      </c>
      <c r="B103" s="291">
        <v>2.3669369051815297</v>
      </c>
      <c r="C103" s="291">
        <v>2.3669369051815297</v>
      </c>
      <c r="D103" s="291">
        <v>2.3669369051815297</v>
      </c>
      <c r="E103" s="291">
        <v>2.3669369051815297</v>
      </c>
      <c r="F103" s="291">
        <v>2.3669369051815297</v>
      </c>
      <c r="G103" s="291">
        <v>2.3669369051815297</v>
      </c>
      <c r="H103" s="291">
        <v>2.3669369051815297</v>
      </c>
      <c r="I103" s="291">
        <v>2.3669369051815297</v>
      </c>
      <c r="J103" s="291">
        <v>2.3669369051815297</v>
      </c>
      <c r="K103" s="291">
        <v>2.3669369051815297</v>
      </c>
      <c r="L103" s="291">
        <v>2.3669369051815297</v>
      </c>
      <c r="M103" s="291">
        <v>2.3669369051815297</v>
      </c>
      <c r="N103" s="291">
        <v>2.3669369051815297</v>
      </c>
      <c r="O103" s="291">
        <v>2.3669369051815297</v>
      </c>
      <c r="P103" s="291">
        <v>2.3669369051815297</v>
      </c>
      <c r="Q103" s="291">
        <v>2.3669369051815297</v>
      </c>
      <c r="R103" s="291">
        <v>2.3669369051815297</v>
      </c>
      <c r="S103" s="291">
        <v>2.3669369051815297</v>
      </c>
      <c r="T103" s="291">
        <v>2.3669369051815297</v>
      </c>
      <c r="U103" s="291">
        <v>2.3669369051815297</v>
      </c>
      <c r="V103" s="291">
        <v>2.3669369051815297</v>
      </c>
      <c r="W103" s="291">
        <v>2.3669369051815297</v>
      </c>
      <c r="X103" s="291">
        <v>2.3669369051815297</v>
      </c>
      <c r="Y103" s="291">
        <v>2.3669369051815297</v>
      </c>
      <c r="Z103" s="291">
        <v>2.3669369051815297</v>
      </c>
      <c r="AA103" s="291">
        <v>2.3669369051815297</v>
      </c>
      <c r="AB103" s="291">
        <v>2.3669369051815297</v>
      </c>
      <c r="AC103" s="291">
        <v>2.3669369051815297</v>
      </c>
      <c r="AD103" s="291">
        <v>2.3669369051815297</v>
      </c>
      <c r="AE103" s="291">
        <v>2.3669369051815297</v>
      </c>
      <c r="AF103" s="291">
        <v>2.3669369051815297</v>
      </c>
      <c r="AG103" s="291">
        <v>2.3669369051815297</v>
      </c>
      <c r="AH103" s="291">
        <v>2.3669369051815297</v>
      </c>
      <c r="AI103" s="291">
        <v>2.3669369051815297</v>
      </c>
      <c r="AJ103" s="291">
        <v>2.3669369051815297</v>
      </c>
      <c r="AK103" s="291">
        <v>2.3669369051815297</v>
      </c>
      <c r="AL103" s="291">
        <v>2.3669369051815297</v>
      </c>
      <c r="AM103" s="291">
        <v>2.3669369051815297</v>
      </c>
      <c r="AN103" s="291">
        <v>2.3669369051815297</v>
      </c>
    </row>
    <row r="104" spans="1:40" x14ac:dyDescent="0.25">
      <c r="A104" s="277" t="s">
        <v>195</v>
      </c>
      <c r="B104" s="291">
        <v>3.7715897074374338E-2</v>
      </c>
      <c r="C104" s="291">
        <v>3.7715897074374338E-2</v>
      </c>
      <c r="D104" s="291">
        <v>3.7715897074374338E-2</v>
      </c>
      <c r="E104" s="291">
        <v>3.7715897074374338E-2</v>
      </c>
      <c r="F104" s="291">
        <v>3.7715897074374338E-2</v>
      </c>
      <c r="G104" s="291">
        <v>3.7715897074374338E-2</v>
      </c>
      <c r="H104" s="291">
        <v>3.7715897074374338E-2</v>
      </c>
      <c r="I104" s="291">
        <v>3.7715897074374338E-2</v>
      </c>
      <c r="J104" s="291">
        <v>3.7715897074374338E-2</v>
      </c>
      <c r="K104" s="291">
        <v>3.7715897074374338E-2</v>
      </c>
      <c r="L104" s="291">
        <v>3.7715897074374338E-2</v>
      </c>
      <c r="M104" s="291">
        <v>3.7715897074374338E-2</v>
      </c>
      <c r="N104" s="291">
        <v>3.7715897074374338E-2</v>
      </c>
      <c r="O104" s="291">
        <v>3.7715897074374338E-2</v>
      </c>
      <c r="P104" s="291">
        <v>3.7715897074374338E-2</v>
      </c>
      <c r="Q104" s="291">
        <v>3.7715897074374338E-2</v>
      </c>
      <c r="R104" s="291">
        <v>3.7715897074374338E-2</v>
      </c>
      <c r="S104" s="291">
        <v>3.7715897074374338E-2</v>
      </c>
      <c r="T104" s="291">
        <v>3.7715897074374338E-2</v>
      </c>
      <c r="U104" s="291">
        <v>3.7715897074374338E-2</v>
      </c>
      <c r="V104" s="291">
        <v>3.7715897074374338E-2</v>
      </c>
      <c r="W104" s="291">
        <v>3.7715897074374338E-2</v>
      </c>
      <c r="X104" s="291">
        <v>3.7715897074374338E-2</v>
      </c>
      <c r="Y104" s="291">
        <v>3.7715897074374338E-2</v>
      </c>
      <c r="Z104" s="291">
        <v>3.7715897074374338E-2</v>
      </c>
      <c r="AA104" s="291">
        <v>3.7715897074374338E-2</v>
      </c>
      <c r="AB104" s="291">
        <v>3.7715897074374338E-2</v>
      </c>
      <c r="AC104" s="291">
        <v>3.7715897074374338E-2</v>
      </c>
      <c r="AD104" s="291">
        <v>3.7715897074374338E-2</v>
      </c>
      <c r="AE104" s="291">
        <v>3.7715897074374338E-2</v>
      </c>
      <c r="AF104" s="291">
        <v>3.7715897074374338E-2</v>
      </c>
      <c r="AG104" s="291">
        <v>3.7715897074374338E-2</v>
      </c>
      <c r="AH104" s="291">
        <v>3.7715897074374338E-2</v>
      </c>
      <c r="AI104" s="291">
        <v>3.7715897074374338E-2</v>
      </c>
      <c r="AJ104" s="291">
        <v>3.7715897074374338E-2</v>
      </c>
      <c r="AK104" s="291">
        <v>3.7715897074374338E-2</v>
      </c>
      <c r="AL104" s="291">
        <v>3.7715897074374338E-2</v>
      </c>
      <c r="AM104" s="291">
        <v>3.7715897074374338E-2</v>
      </c>
      <c r="AN104" s="291">
        <v>3.7715897074374338E-2</v>
      </c>
    </row>
    <row r="105" spans="1:40" x14ac:dyDescent="0.25">
      <c r="A105" s="277" t="s">
        <v>196</v>
      </c>
      <c r="B105" s="291">
        <v>1143.4629264889199</v>
      </c>
      <c r="C105" s="291">
        <v>1162.8588764819599</v>
      </c>
      <c r="D105" s="291">
        <v>851.30212779476199</v>
      </c>
      <c r="E105" s="291">
        <v>821.47370930422699</v>
      </c>
      <c r="F105" s="291">
        <v>809.00633474426104</v>
      </c>
      <c r="G105" s="291">
        <v>775.56598817202996</v>
      </c>
      <c r="H105" s="291">
        <v>742.375390842662</v>
      </c>
      <c r="I105" s="291">
        <v>709.15193864271396</v>
      </c>
      <c r="J105" s="291">
        <v>657.95384882406904</v>
      </c>
      <c r="K105" s="291">
        <v>643.40414718055001</v>
      </c>
      <c r="L105" s="291">
        <v>629.46426253514699</v>
      </c>
      <c r="M105" s="291">
        <v>615.69582757450496</v>
      </c>
      <c r="N105" s="291">
        <v>602.75786464512601</v>
      </c>
      <c r="O105" s="291">
        <v>590.30069128116202</v>
      </c>
      <c r="P105" s="291">
        <v>578.34186989913496</v>
      </c>
      <c r="Q105" s="291">
        <v>567.50340376984104</v>
      </c>
      <c r="R105" s="291">
        <v>557.08654407584697</v>
      </c>
      <c r="S105" s="291">
        <v>547.40178901679803</v>
      </c>
      <c r="T105" s="291">
        <v>538.32231580510904</v>
      </c>
      <c r="U105" s="291">
        <v>529.47028412969496</v>
      </c>
      <c r="V105" s="291">
        <v>520.10331774048495</v>
      </c>
      <c r="W105" s="291">
        <v>509.88658447988701</v>
      </c>
      <c r="X105" s="291">
        <v>499.23947288414797</v>
      </c>
      <c r="Y105" s="291">
        <v>487.90459283926498</v>
      </c>
      <c r="Z105" s="291">
        <v>476.469571706598</v>
      </c>
      <c r="AA105" s="291">
        <v>465.65684288833597</v>
      </c>
      <c r="AB105" s="291">
        <v>455.30351702926203</v>
      </c>
      <c r="AC105" s="291">
        <v>445.07930322753299</v>
      </c>
      <c r="AD105" s="291">
        <v>435.19755712707399</v>
      </c>
      <c r="AE105" s="291">
        <v>425.48359499407701</v>
      </c>
      <c r="AF105" s="291">
        <v>416.283232505657</v>
      </c>
      <c r="AG105" s="291">
        <v>407.67031052301502</v>
      </c>
      <c r="AH105" s="291">
        <v>399.21284534363298</v>
      </c>
      <c r="AI105" s="291">
        <v>390.66857244457401</v>
      </c>
      <c r="AJ105" s="291">
        <v>381.553449877898</v>
      </c>
      <c r="AK105" s="291">
        <v>371.26673940399598</v>
      </c>
      <c r="AL105" s="291">
        <v>359.739017115845</v>
      </c>
      <c r="AM105" s="291">
        <v>346.89937486257497</v>
      </c>
      <c r="AN105" s="291">
        <v>332.511071326874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5"/>
  <sheetViews>
    <sheetView topLeftCell="H24" zoomScale="85" zoomScaleNormal="85" workbookViewId="0">
      <selection activeCell="M52" sqref="M52"/>
    </sheetView>
  </sheetViews>
  <sheetFormatPr defaultRowHeight="15" x14ac:dyDescent="0.25"/>
  <cols>
    <col min="1" max="1" width="21.28515625" customWidth="1"/>
    <col min="2" max="7" width="18.5703125" customWidth="1"/>
    <col min="8" max="8" width="35.5703125" bestFit="1" customWidth="1"/>
    <col min="9" max="9" width="36.42578125" bestFit="1" customWidth="1"/>
    <col min="10" max="10" width="11" bestFit="1" customWidth="1"/>
    <col min="11" max="11" width="11.140625" bestFit="1" customWidth="1"/>
    <col min="12" max="12" width="15.85546875" customWidth="1"/>
    <col min="13" max="13" width="19.85546875" customWidth="1"/>
    <col min="14" max="14" width="35.5703125" customWidth="1"/>
    <col min="15" max="15" width="36.42578125" customWidth="1"/>
    <col min="16" max="16" width="11" customWidth="1"/>
    <col min="17" max="17" width="11.140625" customWidth="1"/>
    <col min="18" max="18" width="10.28515625" bestFit="1" customWidth="1"/>
    <col min="19" max="19" width="17.85546875" customWidth="1"/>
    <col min="20" max="20" width="11.85546875" bestFit="1" customWidth="1"/>
    <col min="21" max="21" width="18.42578125" bestFit="1" customWidth="1"/>
    <col min="25" max="26" width="11.85546875" bestFit="1" customWidth="1"/>
  </cols>
  <sheetData>
    <row r="1" spans="1:32" ht="15.75" thickBot="1" x14ac:dyDescent="0.3">
      <c r="B1" t="s">
        <v>67</v>
      </c>
      <c r="C1" s="10" t="s">
        <v>68</v>
      </c>
      <c r="H1" t="s">
        <v>69</v>
      </c>
    </row>
    <row r="2" spans="1:32" ht="15" customHeight="1" thickBot="1" x14ac:dyDescent="0.3">
      <c r="A2">
        <f>Diskonttaus!B4</f>
        <v>2045</v>
      </c>
      <c r="B2" s="292" t="s">
        <v>70</v>
      </c>
      <c r="C2" s="293" t="s">
        <v>71</v>
      </c>
      <c r="D2" s="293" t="s">
        <v>72</v>
      </c>
      <c r="E2" s="293" t="s">
        <v>73</v>
      </c>
      <c r="F2" s="59" t="s">
        <v>74</v>
      </c>
      <c r="H2" s="61" t="s">
        <v>70</v>
      </c>
      <c r="I2" s="50" t="s">
        <v>71</v>
      </c>
    </row>
    <row r="3" spans="1:32" ht="15" customHeight="1" thickBot="1" x14ac:dyDescent="0.3">
      <c r="A3" t="s">
        <v>75</v>
      </c>
      <c r="B3" s="296" cm="1">
        <f t="array" ref="B3">IFERROR(_xlfn.SWITCH($A3,"Auto",INDEX('Liukuvat yksikkoarvot'!$B$3:$AN$7,MATCH(B$2,'Liukuvat yksikkoarvot'!$A$3:$A$7,0),MATCH($A$2,'Liukuvat yksikkoarvot'!$B$2:$AN$2,0)),"Joukkoliikenne (juna)",INDEX('Liukuvat yksikkoarvot'!$B$10:$AN$12,MATCH(B$2,'Liukuvat yksikkoarvot'!$A$10:$A$12,0),MATCH($A$2,'Liukuvat yksikkoarvot'!$B$9:$AN$9,0)),"Polkupyörä",INDEX('Liukuvat yksikkoarvot'!$B$15:$AN$17,MATCH(B$2,'Liukuvat yksikkoarvot'!$A$15:$A$17,0),MATCH($A$2,'Liukuvat yksikkoarvot'!$B$14:$AN$14,0)),""),"")</f>
        <v>12.65</v>
      </c>
      <c r="C3" s="297" cm="1">
        <f t="array" ref="C3">IFERROR(_xlfn.SWITCH($A3,"Auto",INDEX('Liukuvat yksikkoarvot'!$B$3:$AN$7,MATCH(C$2,'Liukuvat yksikkoarvot'!$A$3:$A$7,0),MATCH($A$2,'Liukuvat yksikkoarvot'!$B$2:$AN$2,0)),"Joukkoliikenne (juna)",INDEX('Liukuvat yksikkoarvot'!$B$10:$AN$12,MATCH(C$2,'Liukuvat yksikkoarvot'!$A$10:$A$12,0),MATCH($A$2,'Liukuvat yksikkoarvot'!$B$9:$AN$9,0)),"Polkupyörä",INDEX('Liukuvat yksikkoarvot'!$B$15:$AN$17,MATCH(C$2,'Liukuvat yksikkoarvot'!$A$15:$A$17,0),MATCH($A$2,'Liukuvat yksikkoarvot'!$B$14:$AN$14,0)),""),"")</f>
        <v>8.6</v>
      </c>
      <c r="D3" s="297" cm="1">
        <f t="array" ref="D3">IFERROR(_xlfn.SWITCH($A3,"Auto",INDEX('Liukuvat yksikkoarvot'!$B$3:$AN$7,MATCH(D$2,'Liukuvat yksikkoarvot'!$A$3:$A$7,0),MATCH($A$2,'Liukuvat yksikkoarvot'!$B$2:$AN$2,0)),"Joukkoliikenne (juna)",INDEX('Liukuvat yksikkoarvot'!$B$10:$AN$12,MATCH(D$2,'Liukuvat yksikkoarvot'!$A$10:$A$12,0),MATCH($A$2,'Liukuvat yksikkoarvot'!$B$9:$AN$9,0)),"Polkupyörä",INDEX('Liukuvat yksikkoarvot'!$B$15:$AN$17,MATCH(D$2,'Liukuvat yksikkoarvot'!$A$15:$A$17,0),MATCH($A$2,'Liukuvat yksikkoarvot'!$B$14:$AN$14,0)),""),"")</f>
        <v>37.299999999999997</v>
      </c>
      <c r="E3" s="297" cm="1">
        <f t="array" ref="E3">IFERROR(_xlfn.SWITCH($A3,"Auto",INDEX('Liukuvat yksikkoarvot'!$B$3:$AN$7,MATCH(E$2,'Liukuvat yksikkoarvot'!$A$3:$A$7,0),MATCH($A$2,'Liukuvat yksikkoarvot'!$B$2:$AN$2,0)),"Joukkoliikenne (juna)",INDEX('Liukuvat yksikkoarvot'!$B$10:$AN$12,MATCH(E$2,'Liukuvat yksikkoarvot'!$A$10:$A$12,0),MATCH($A$2,'Liukuvat yksikkoarvot'!$B$9:$AN$9,0)),"Polkupyörä",INDEX('Liukuvat yksikkoarvot'!$B$15:$AN$17,MATCH(E$2,'Liukuvat yksikkoarvot'!$A$15:$A$17,0),MATCH($A$2,'Liukuvat yksikkoarvot'!$B$14:$AN$14,0)),""),"")</f>
        <v>43.3</v>
      </c>
      <c r="F3" s="298" cm="1">
        <f t="array" ref="F3">IFERROR(_xlfn.SWITCH($A3,"Auto",INDEX('Liukuvat yksikkoarvot'!$B$3:$AN$7,MATCH(F$2,'Liukuvat yksikkoarvot'!$A$3:$A$7,0),MATCH($A$2,'Liukuvat yksikkoarvot'!$B$2:$AN$2,0)),"Joukkoliikenne (juna)",INDEX('Liukuvat yksikkoarvot'!$B$10:$AN$12,MATCH(F$2,'Liukuvat yksikkoarvot'!$A$10:$A$12,0),MATCH($A$2,'Liukuvat yksikkoarvot'!$B$9:$AN$9,0)),"Polkupyörä",INDEX('Liukuvat yksikkoarvot'!$B$15:$AN$17,MATCH(F$2,'Liukuvat yksikkoarvot'!$A$15:$A$17,0),MATCH($A$2,'Liukuvat yksikkoarvot'!$B$14:$AN$14,0)),""),"")</f>
        <v>67.905000000000001</v>
      </c>
      <c r="H3" s="264">
        <v>1.1599999999999999</v>
      </c>
      <c r="I3" s="263">
        <v>1.4</v>
      </c>
    </row>
    <row r="4" spans="1:32" ht="15" customHeight="1" x14ac:dyDescent="0.25">
      <c r="A4" t="s">
        <v>76</v>
      </c>
      <c r="B4" s="299" cm="1">
        <f t="array" ref="B4">IFERROR(_xlfn.SWITCH($A4,"Auto",INDEX('Liukuvat yksikkoarvot'!$B$3:$AN$7,MATCH(B$2,'Liukuvat yksikkoarvot'!$A$3:$A$7,0),MATCH($A$2,'Liukuvat yksikkoarvot'!$B$2:$AN$2,0)),"Joukkoliikenne (juna)",INDEX('Liukuvat yksikkoarvot'!$B$10:$AN$12,MATCH(B$2,'Liukuvat yksikkoarvot'!$A$10:$A$12,0),MATCH($A$2,'Liukuvat yksikkoarvot'!$B$9:$AN$9,0)),"Polkupyörä",INDEX('Liukuvat yksikkoarvot'!$B$15:$AN$17,MATCH(B$2,'Liukuvat yksikkoarvot'!$A$15:$A$17,0),MATCH($A$2,'Liukuvat yksikkoarvot'!$B$14:$AN$14,0)),""),"")</f>
        <v>10.100000000000001</v>
      </c>
      <c r="C4" s="300" cm="1">
        <f t="array" ref="C4">IFERROR(_xlfn.SWITCH($A4,"Auto",INDEX('Liukuvat yksikkoarvot'!$B$3:$AN$7,MATCH(C$2,'Liukuvat yksikkoarvot'!$A$3:$A$7,0),MATCH($A$2,'Liukuvat yksikkoarvot'!$B$2:$AN$2,0)),"Joukkoliikenne (juna)",INDEX('Liukuvat yksikkoarvot'!$B$10:$AN$12,MATCH(C$2,'Liukuvat yksikkoarvot'!$A$10:$A$12,0),MATCH($A$2,'Liukuvat yksikkoarvot'!$B$9:$AN$9,0)),"Polkupyörä",INDEX('Liukuvat yksikkoarvot'!$B$15:$AN$17,MATCH(C$2,'Liukuvat yksikkoarvot'!$A$15:$A$17,0),MATCH($A$2,'Liukuvat yksikkoarvot'!$B$14:$AN$14,0)),""),"")</f>
        <v>7.75</v>
      </c>
      <c r="D4" s="300" cm="1">
        <f t="array" ref="D4">IFERROR(_xlfn.SWITCH($A4,"Auto",INDEX('Liukuvat yksikkoarvot'!$B$3:$AN$7,MATCH(D$2,'Liukuvat yksikkoarvot'!$A$3:$A$7,0),MATCH($A$2,'Liukuvat yksikkoarvot'!$B$2:$AN$2,0)),"Joukkoliikenne (juna)",INDEX('Liukuvat yksikkoarvot'!$B$10:$AN$12,MATCH(D$2,'Liukuvat yksikkoarvot'!$A$10:$A$12,0),MATCH($A$2,'Liukuvat yksikkoarvot'!$B$9:$AN$9,0)),"Polkupyörä",INDEX('Liukuvat yksikkoarvot'!$B$15:$AN$17,MATCH(D$2,'Liukuvat yksikkoarvot'!$A$15:$A$17,0),MATCH($A$2,'Liukuvat yksikkoarvot'!$B$14:$AN$14,0)),""),"")</f>
        <v>31.75</v>
      </c>
      <c r="E4" s="300" t="str" cm="1">
        <f t="array" ref="E4">IFERROR(_xlfn.SWITCH($A4,"Auto",INDEX('Liukuvat yksikkoarvot'!$B$3:$AN$7,MATCH(E$2,'Liukuvat yksikkoarvot'!$A$3:$A$7,0),MATCH($A$2,'Liukuvat yksikkoarvot'!$B$2:$AN$2,0)),"Joukkoliikenne (juna)",INDEX('Liukuvat yksikkoarvot'!$B$10:$AN$12,MATCH(E$2,'Liukuvat yksikkoarvot'!$A$10:$A$12,0),MATCH($A$2,'Liukuvat yksikkoarvot'!$B$9:$AN$9,0)),"Polkupyörä",INDEX('Liukuvat yksikkoarvot'!$B$15:$AN$17,MATCH(E$2,'Liukuvat yksikkoarvot'!$A$15:$A$17,0),MATCH($A$2,'Liukuvat yksikkoarvot'!$B$14:$AN$14,0)),""),"")</f>
        <v/>
      </c>
      <c r="F4" s="301" t="str" cm="1">
        <f t="array" ref="F4">IFERROR(_xlfn.SWITCH($A4,"Auto",INDEX('Liukuvat yksikkoarvot'!$B$3:$AN$7,MATCH(F$2,'Liukuvat yksikkoarvot'!$A$3:$A$7,0),MATCH($A$2,'Liukuvat yksikkoarvot'!$B$2:$AN$2,0)),"Joukkoliikenne (juna)",INDEX('Liukuvat yksikkoarvot'!$B$10:$AN$12,MATCH(F$2,'Liukuvat yksikkoarvot'!$A$10:$A$12,0),MATCH($A$2,'Liukuvat yksikkoarvot'!$B$9:$AN$9,0)),"Polkupyörä",INDEX('Liukuvat yksikkoarvot'!$B$15:$AN$17,MATCH(F$2,'Liukuvat yksikkoarvot'!$A$15:$A$17,0),MATCH($A$2,'Liukuvat yksikkoarvot'!$B$14:$AN$14,0)),""),"")</f>
        <v/>
      </c>
    </row>
    <row r="5" spans="1:32" ht="15.75" thickBot="1" x14ac:dyDescent="0.3">
      <c r="A5" t="s">
        <v>77</v>
      </c>
      <c r="B5" s="302" cm="1">
        <f t="array" ref="B5">IFERROR(_xlfn.SWITCH($A5,"Auto",INDEX('Liukuvat yksikkoarvot'!$B$3:$AN$7,MATCH(B$2,'Liukuvat yksikkoarvot'!$A$3:$A$7,0),MATCH($A$2,'Liukuvat yksikkoarvot'!$B$2:$AN$2,0)),"Joukkoliikenne (juna)",INDEX('Liukuvat yksikkoarvot'!$B$10:$AN$12,MATCH(B$2,'Liukuvat yksikkoarvot'!$A$10:$A$12,0),MATCH($A$2,'Liukuvat yksikkoarvot'!$B$9:$AN$9,0)),"Polkupyörä",INDEX('Liukuvat yksikkoarvot'!$B$15:$AN$17,MATCH(B$2,'Liukuvat yksikkoarvot'!$A$15:$A$17,0),MATCH($A$2,'Liukuvat yksikkoarvot'!$B$14:$AN$14,0)),""),"")</f>
        <v>19.32155165761132</v>
      </c>
      <c r="C5" s="303" cm="1">
        <f t="array" ref="C5">IFERROR(_xlfn.SWITCH($A5,"Auto",INDEX('Liukuvat yksikkoarvot'!$B$3:$AN$7,MATCH(C$2,'Liukuvat yksikkoarvot'!$A$3:$A$7,0),MATCH($A$2,'Liukuvat yksikkoarvot'!$B$2:$AN$2,0)),"Joukkoliikenne (juna)",INDEX('Liukuvat yksikkoarvot'!$B$10:$AN$12,MATCH(C$2,'Liukuvat yksikkoarvot'!$A$10:$A$12,0),MATCH($A$2,'Liukuvat yksikkoarvot'!$B$9:$AN$9,0)),"Polkupyörä",INDEX('Liukuvat yksikkoarvot'!$B$15:$AN$17,MATCH(C$2,'Liukuvat yksikkoarvot'!$A$15:$A$17,0),MATCH($A$2,'Liukuvat yksikkoarvot'!$B$14:$AN$14,0)),""),"")</f>
        <v>19.32155165761132</v>
      </c>
      <c r="D5" s="303" cm="1">
        <f t="array" ref="D5">IFERROR(_xlfn.SWITCH($A5,"Auto",INDEX('Liukuvat yksikkoarvot'!$B$3:$AN$7,MATCH(D$2,'Liukuvat yksikkoarvot'!$A$3:$A$7,0),MATCH($A$2,'Liukuvat yksikkoarvot'!$B$2:$AN$2,0)),"Joukkoliikenne (juna)",INDEX('Liukuvat yksikkoarvot'!$B$10:$AN$12,MATCH(D$2,'Liukuvat yksikkoarvot'!$A$10:$A$12,0),MATCH($A$2,'Liukuvat yksikkoarvot'!$B$9:$AN$9,0)),"Polkupyörä",INDEX('Liukuvat yksikkoarvot'!$B$15:$AN$17,MATCH(D$2,'Liukuvat yksikkoarvot'!$A$15:$A$17,0),MATCH($A$2,'Liukuvat yksikkoarvot'!$B$14:$AN$14,0)),""),"")</f>
        <v>19.32155165761132</v>
      </c>
      <c r="E5" s="303" t="str" cm="1">
        <f t="array" ref="E5">IFERROR(_xlfn.SWITCH($A5,"Auto",INDEX('Liukuvat yksikkoarvot'!$B$3:$AN$7,MATCH(E$2,'Liukuvat yksikkoarvot'!$A$3:$A$7,0),MATCH($A$2,'Liukuvat yksikkoarvot'!$B$2:$AN$2,0)),"Joukkoliikenne (juna)",INDEX('Liukuvat yksikkoarvot'!$B$10:$AN$12,MATCH(E$2,'Liukuvat yksikkoarvot'!$A$10:$A$12,0),MATCH($A$2,'Liukuvat yksikkoarvot'!$B$9:$AN$9,0)),"Polkupyörä",INDEX('Liukuvat yksikkoarvot'!$B$15:$AN$17,MATCH(E$2,'Liukuvat yksikkoarvot'!$A$15:$A$17,0),MATCH($A$2,'Liukuvat yksikkoarvot'!$B$14:$AN$14,0)),""),"")</f>
        <v/>
      </c>
      <c r="F5" s="304" t="str" cm="1">
        <f t="array" ref="F5">IFERROR(_xlfn.SWITCH($A5,"Auto",INDEX('Liukuvat yksikkoarvot'!$B$3:$AN$7,MATCH(F$2,'Liukuvat yksikkoarvot'!$A$3:$A$7,0),MATCH($A$2,'Liukuvat yksikkoarvot'!$B$2:$AN$2,0)),"Joukkoliikenne (juna)",INDEX('Liukuvat yksikkoarvot'!$B$10:$AN$12,MATCH(F$2,'Liukuvat yksikkoarvot'!$A$10:$A$12,0),MATCH($A$2,'Liukuvat yksikkoarvot'!$B$9:$AN$9,0)),"Polkupyörä",INDEX('Liukuvat yksikkoarvot'!$B$15:$AN$17,MATCH(F$2,'Liukuvat yksikkoarvot'!$A$15:$A$17,0),MATCH($A$2,'Liukuvat yksikkoarvot'!$B$14:$AN$14,0)),""),"")</f>
        <v/>
      </c>
      <c r="H5" s="254" t="s">
        <v>78</v>
      </c>
      <c r="I5" s="254" t="s">
        <v>79</v>
      </c>
    </row>
    <row r="6" spans="1:32" ht="15" customHeight="1" thickBot="1" x14ac:dyDescent="0.3">
      <c r="A6" s="11"/>
    </row>
    <row r="7" spans="1:32" ht="15" customHeight="1" thickBot="1" x14ac:dyDescent="0.3">
      <c r="A7">
        <f>Diskonttaus!B6</f>
        <v>2060</v>
      </c>
      <c r="B7" s="292" t="s">
        <v>70</v>
      </c>
      <c r="C7" s="293" t="s">
        <v>71</v>
      </c>
      <c r="D7" s="293" t="s">
        <v>72</v>
      </c>
      <c r="E7" s="293" t="s">
        <v>73</v>
      </c>
      <c r="F7" s="59" t="s">
        <v>74</v>
      </c>
    </row>
    <row r="8" spans="1:32" ht="15" customHeight="1" x14ac:dyDescent="0.25">
      <c r="A8" t="s">
        <v>75</v>
      </c>
      <c r="B8" s="296" cm="1">
        <f t="array" ref="B8">IFERROR(_xlfn.SWITCH($A8,"Auto",INDEX('Liukuvat yksikkoarvot'!$B$3:$AN$7,MATCH(B$7,'Liukuvat yksikkoarvot'!$A$3:$A$7,0),MATCH($A$7,'Liukuvat yksikkoarvot'!$B$2:$AN$2,0)),"Joukkoliikenne (juna)",INDEX('Liukuvat yksikkoarvot'!$B$10:$AN$12,MATCH(B$7,'Liukuvat yksikkoarvot'!$A$10:$A$12,0),MATCH($A$7,'Liukuvat yksikkoarvot'!$B$9:$AN$9,0)),"Polkupyörä",INDEX('Liukuvat yksikkoarvot'!$B$15:$AN$17,MATCH(B$7,'Liukuvat yksikkoarvot'!$A$15:$A$17,0),MATCH($A$7,'Liukuvat yksikkoarvot'!$B$14:$AN$14,0)),""),"")</f>
        <v>15.6</v>
      </c>
      <c r="C8" s="297" cm="1">
        <f t="array" ref="C8">IFERROR(_xlfn.SWITCH($A8,"Auto",INDEX('Liukuvat yksikkoarvot'!$B$3:$AN$7,MATCH(C$7,'Liukuvat yksikkoarvot'!$A$3:$A$7,0),MATCH($A$7,'Liukuvat yksikkoarvot'!$B$2:$AN$2,0)),"Joukkoliikenne (juna)",INDEX('Liukuvat yksikkoarvot'!$B$10:$AN$12,MATCH(C$7,'Liukuvat yksikkoarvot'!$A$10:$A$12,0),MATCH($A$7,'Liukuvat yksikkoarvot'!$B$9:$AN$9,0)),"Polkupyörä",INDEX('Liukuvat yksikkoarvot'!$B$15:$AN$17,MATCH(C$7,'Liukuvat yksikkoarvot'!$A$15:$A$17,0),MATCH($A$7,'Liukuvat yksikkoarvot'!$B$14:$AN$14,0)),""),"")</f>
        <v>10.5</v>
      </c>
      <c r="D8" s="297" cm="1">
        <f t="array" ref="D8">IFERROR(_xlfn.SWITCH($A8,"Auto",INDEX('Liukuvat yksikkoarvot'!$B$3:$AN$7,MATCH(D$7,'Liukuvat yksikkoarvot'!$A$3:$A$7,0),MATCH($A$7,'Liukuvat yksikkoarvot'!$B$2:$AN$2,0)),"Joukkoliikenne (juna)",INDEX('Liukuvat yksikkoarvot'!$B$10:$AN$12,MATCH(D$7,'Liukuvat yksikkoarvot'!$A$10:$A$12,0),MATCH($A$7,'Liukuvat yksikkoarvot'!$B$9:$AN$9,0)),"Polkupyörä",INDEX('Liukuvat yksikkoarvot'!$B$15:$AN$17,MATCH(D$7,'Liukuvat yksikkoarvot'!$A$15:$A$17,0),MATCH($A$7,'Liukuvat yksikkoarvot'!$B$14:$AN$14,0)),""),"")</f>
        <v>45.8</v>
      </c>
      <c r="E8" s="297" cm="1">
        <f t="array" ref="E8">IFERROR(_xlfn.SWITCH($A8,"Auto",INDEX('Liukuvat yksikkoarvot'!$B$3:$AN$7,MATCH(E$7,'Liukuvat yksikkoarvot'!$A$3:$A$7,0),MATCH($A$7,'Liukuvat yksikkoarvot'!$B$2:$AN$2,0)),"Joukkoliikenne (juna)",INDEX('Liukuvat yksikkoarvot'!$B$10:$AN$12,MATCH(E$7,'Liukuvat yksikkoarvot'!$A$10:$A$12,0),MATCH($A$7,'Liukuvat yksikkoarvot'!$B$9:$AN$9,0)),"Polkupyörä",INDEX('Liukuvat yksikkoarvot'!$B$15:$AN$17,MATCH(E$7,'Liukuvat yksikkoarvot'!$A$15:$A$17,0),MATCH($A$7,'Liukuvat yksikkoarvot'!$B$14:$AN$14,0)),""),"")</f>
        <v>44.18</v>
      </c>
      <c r="F8" s="298" cm="1">
        <f t="array" ref="F8">IFERROR(_xlfn.SWITCH($A8,"Auto",INDEX('Liukuvat yksikkoarvot'!$B$3:$AN$7,MATCH(F$7,'Liukuvat yksikkoarvot'!$A$3:$A$7,0),MATCH($A$7,'Liukuvat yksikkoarvot'!$B$2:$AN$2,0)),"Joukkoliikenne (juna)",INDEX('Liukuvat yksikkoarvot'!$B$10:$AN$12,MATCH(F$7,'Liukuvat yksikkoarvot'!$A$10:$A$12,0),MATCH($A$7,'Liukuvat yksikkoarvot'!$B$9:$AN$9,0)),"Polkupyörä",INDEX('Liukuvat yksikkoarvot'!$B$15:$AN$17,MATCH(F$7,'Liukuvat yksikkoarvot'!$A$15:$A$17,0),MATCH($A$7,'Liukuvat yksikkoarvot'!$B$14:$AN$14,0)),""),"")</f>
        <v>73.98</v>
      </c>
    </row>
    <row r="9" spans="1:32" ht="15" customHeight="1" x14ac:dyDescent="0.25">
      <c r="A9" t="s">
        <v>76</v>
      </c>
      <c r="B9" s="299" cm="1">
        <f t="array" ref="B9">IFERROR(_xlfn.SWITCH($A9,"Auto",INDEX('Liukuvat yksikkoarvot'!$B$3:$AN$7,MATCH(B$7,'Liukuvat yksikkoarvot'!$A$3:$A$7,0),MATCH($A$7,'Liukuvat yksikkoarvot'!$B$2:$AN$2,0)),"Joukkoliikenne (juna)",INDEX('Liukuvat yksikkoarvot'!$B$10:$AN$12,MATCH(B$7,'Liukuvat yksikkoarvot'!$A$10:$A$12,0),MATCH($A$7,'Liukuvat yksikkoarvot'!$B$9:$AN$9,0)),"Polkupyörä",INDEX('Liukuvat yksikkoarvot'!$B$15:$AN$17,MATCH(B$7,'Liukuvat yksikkoarvot'!$A$15:$A$17,0),MATCH($A$7,'Liukuvat yksikkoarvot'!$B$14:$AN$14,0)),""),"")</f>
        <v>12.4</v>
      </c>
      <c r="C9" s="300" cm="1">
        <f t="array" ref="C9">IFERROR(_xlfn.SWITCH($A9,"Auto",INDEX('Liukuvat yksikkoarvot'!$B$3:$AN$7,MATCH(C$7,'Liukuvat yksikkoarvot'!$A$3:$A$7,0),MATCH($A$7,'Liukuvat yksikkoarvot'!$B$2:$AN$2,0)),"Joukkoliikenne (juna)",INDEX('Liukuvat yksikkoarvot'!$B$10:$AN$12,MATCH(C$7,'Liukuvat yksikkoarvot'!$A$10:$A$12,0),MATCH($A$7,'Liukuvat yksikkoarvot'!$B$9:$AN$9,0)),"Polkupyörä",INDEX('Liukuvat yksikkoarvot'!$B$15:$AN$17,MATCH(C$7,'Liukuvat yksikkoarvot'!$A$15:$A$17,0),MATCH($A$7,'Liukuvat yksikkoarvot'!$B$14:$AN$14,0)),""),"")</f>
        <v>9.5</v>
      </c>
      <c r="D9" s="300" cm="1">
        <f t="array" ref="D9">IFERROR(_xlfn.SWITCH($A9,"Auto",INDEX('Liukuvat yksikkoarvot'!$B$3:$AN$7,MATCH(D$7,'Liukuvat yksikkoarvot'!$A$3:$A$7,0),MATCH($A$7,'Liukuvat yksikkoarvot'!$B$2:$AN$2,0)),"Joukkoliikenne (juna)",INDEX('Liukuvat yksikkoarvot'!$B$10:$AN$12,MATCH(D$7,'Liukuvat yksikkoarvot'!$A$10:$A$12,0),MATCH($A$7,'Liukuvat yksikkoarvot'!$B$9:$AN$9,0)),"Polkupyörä",INDEX('Liukuvat yksikkoarvot'!$B$15:$AN$17,MATCH(D$7,'Liukuvat yksikkoarvot'!$A$15:$A$17,0),MATCH($A$7,'Liukuvat yksikkoarvot'!$B$14:$AN$14,0)),""),"")</f>
        <v>38.9</v>
      </c>
      <c r="E9" s="300" t="str" cm="1">
        <f t="array" ref="E9">IFERROR(_xlfn.SWITCH($A9,"Auto",INDEX('Liukuvat yksikkoarvot'!$B$3:$AN$7,MATCH(E$7,'Liukuvat yksikkoarvot'!$A$3:$A$7,0),MATCH($A$7,'Liukuvat yksikkoarvot'!$B$2:$AN$2,0)),"Joukkoliikenne (juna)",INDEX('Liukuvat yksikkoarvot'!$B$10:$AN$12,MATCH(E$7,'Liukuvat yksikkoarvot'!$A$10:$A$12,0),MATCH($A$7,'Liukuvat yksikkoarvot'!$B$9:$AN$9,0)),"Polkupyörä",INDEX('Liukuvat yksikkoarvot'!$B$15:$AN$17,MATCH(E$7,'Liukuvat yksikkoarvot'!$A$15:$A$17,0),MATCH($A$7,'Liukuvat yksikkoarvot'!$B$14:$AN$14,0)),""),"")</f>
        <v/>
      </c>
      <c r="F9" s="301" t="str" cm="1">
        <f t="array" ref="F9">IFERROR(_xlfn.SWITCH($A9,"Auto",INDEX('Liukuvat yksikkoarvot'!$B$3:$AN$7,MATCH(F$7,'Liukuvat yksikkoarvot'!$A$3:$A$7,0),MATCH($A$7,'Liukuvat yksikkoarvot'!$B$2:$AN$2,0)),"Joukkoliikenne (juna)",INDEX('Liukuvat yksikkoarvot'!$B$10:$AN$12,MATCH(F$7,'Liukuvat yksikkoarvot'!$A$10:$A$12,0),MATCH($A$7,'Liukuvat yksikkoarvot'!$B$9:$AN$9,0)),"Polkupyörä",INDEX('Liukuvat yksikkoarvot'!$B$15:$AN$17,MATCH(F$7,'Liukuvat yksikkoarvot'!$A$15:$A$17,0),MATCH($A$7,'Liukuvat yksikkoarvot'!$B$14:$AN$14,0)),""),"")</f>
        <v/>
      </c>
    </row>
    <row r="10" spans="1:32" ht="15" customHeight="1" thickBot="1" x14ac:dyDescent="0.3">
      <c r="A10" t="s">
        <v>77</v>
      </c>
      <c r="B10" s="302" cm="1">
        <f t="array" ref="B10">IFERROR(_xlfn.SWITCH($A10,"Auto",INDEX('Liukuvat yksikkoarvot'!$B$3:$AN$7,MATCH(B$7,'Liukuvat yksikkoarvot'!$A$3:$A$7,0),MATCH($A$7,'Liukuvat yksikkoarvot'!$B$2:$AN$2,0)),"Joukkoliikenne (juna)",INDEX('Liukuvat yksikkoarvot'!$B$10:$AN$12,MATCH(B$7,'Liukuvat yksikkoarvot'!$A$10:$A$12,0),MATCH($A$7,'Liukuvat yksikkoarvot'!$B$9:$AN$9,0)),"Polkupyörä",INDEX('Liukuvat yksikkoarvot'!$B$15:$AN$17,MATCH(B$7,'Liukuvat yksikkoarvot'!$A$15:$A$17,0),MATCH($A$7,'Liukuvat yksikkoarvot'!$B$14:$AN$14,0)),""),"")</f>
        <v>23.801883510321669</v>
      </c>
      <c r="C10" s="303" cm="1">
        <f t="array" ref="C10">IFERROR(_xlfn.SWITCH($A10,"Auto",INDEX('Liukuvat yksikkoarvot'!$B$3:$AN$7,MATCH(C$7,'Liukuvat yksikkoarvot'!$A$3:$A$7,0),MATCH($A$7,'Liukuvat yksikkoarvot'!$B$2:$AN$2,0)),"Joukkoliikenne (juna)",INDEX('Liukuvat yksikkoarvot'!$B$10:$AN$12,MATCH(C$7,'Liukuvat yksikkoarvot'!$A$10:$A$12,0),MATCH($A$7,'Liukuvat yksikkoarvot'!$B$9:$AN$9,0)),"Polkupyörä",INDEX('Liukuvat yksikkoarvot'!$B$15:$AN$17,MATCH(C$7,'Liukuvat yksikkoarvot'!$A$15:$A$17,0),MATCH($A$7,'Liukuvat yksikkoarvot'!$B$14:$AN$14,0)),""),"")</f>
        <v>23.801883510321669</v>
      </c>
      <c r="D10" s="303" cm="1">
        <f t="array" ref="D10">IFERROR(_xlfn.SWITCH($A10,"Auto",INDEX('Liukuvat yksikkoarvot'!$B$3:$AN$7,MATCH(D$7,'Liukuvat yksikkoarvot'!$A$3:$A$7,0),MATCH($A$7,'Liukuvat yksikkoarvot'!$B$2:$AN$2,0)),"Joukkoliikenne (juna)",INDEX('Liukuvat yksikkoarvot'!$B$10:$AN$12,MATCH(D$7,'Liukuvat yksikkoarvot'!$A$10:$A$12,0),MATCH($A$7,'Liukuvat yksikkoarvot'!$B$9:$AN$9,0)),"Polkupyörä",INDEX('Liukuvat yksikkoarvot'!$B$15:$AN$17,MATCH(D$7,'Liukuvat yksikkoarvot'!$A$15:$A$17,0),MATCH($A$7,'Liukuvat yksikkoarvot'!$B$14:$AN$14,0)),""),"")</f>
        <v>23.801883510321669</v>
      </c>
      <c r="E10" s="303" t="str" cm="1">
        <f t="array" ref="E10">IFERROR(_xlfn.SWITCH($A10,"Auto",INDEX('Liukuvat yksikkoarvot'!$B$3:$AN$7,MATCH(E$7,'Liukuvat yksikkoarvot'!$A$3:$A$7,0),MATCH($A$7,'Liukuvat yksikkoarvot'!$B$2:$AN$2,0)),"Joukkoliikenne (juna)",INDEX('Liukuvat yksikkoarvot'!$B$10:$AN$12,MATCH(E$7,'Liukuvat yksikkoarvot'!$A$10:$A$12,0),MATCH($A$7,'Liukuvat yksikkoarvot'!$B$9:$AN$9,0)),"Polkupyörä",INDEX('Liukuvat yksikkoarvot'!$B$15:$AN$17,MATCH(E$7,'Liukuvat yksikkoarvot'!$A$15:$A$17,0),MATCH($A$7,'Liukuvat yksikkoarvot'!$B$14:$AN$14,0)),""),"")</f>
        <v/>
      </c>
      <c r="F10" s="304" t="str" cm="1">
        <f t="array" ref="F10">IFERROR(_xlfn.SWITCH($A10,"Auto",INDEX('Liukuvat yksikkoarvot'!$B$3:$AN$7,MATCH(F$7,'Liukuvat yksikkoarvot'!$A$3:$A$7,0),MATCH($A$7,'Liukuvat yksikkoarvot'!$B$2:$AN$2,0)),"Joukkoliikenne (juna)",INDEX('Liukuvat yksikkoarvot'!$B$10:$AN$12,MATCH(F$7,'Liukuvat yksikkoarvot'!$A$10:$A$12,0),MATCH($A$7,'Liukuvat yksikkoarvot'!$B$9:$AN$9,0)),"Polkupyörä",INDEX('Liukuvat yksikkoarvot'!$B$15:$AN$17,MATCH(F$7,'Liukuvat yksikkoarvot'!$A$15:$A$17,0),MATCH($A$7,'Liukuvat yksikkoarvot'!$B$14:$AN$14,0)),""),"")</f>
        <v/>
      </c>
    </row>
    <row r="11" spans="1:32" ht="15" customHeight="1" x14ac:dyDescent="0.25">
      <c r="B11" s="294"/>
      <c r="C11" s="294"/>
      <c r="D11" s="294"/>
      <c r="E11" s="294"/>
      <c r="F11" s="294"/>
    </row>
    <row r="12" spans="1:32" ht="15" customHeight="1" thickBot="1" x14ac:dyDescent="0.3">
      <c r="A12" s="10" t="s">
        <v>80</v>
      </c>
    </row>
    <row r="13" spans="1:32" ht="15" customHeight="1" thickBot="1" x14ac:dyDescent="0.3">
      <c r="B13" s="86">
        <f>Diskonttaus!B4</f>
        <v>2045</v>
      </c>
      <c r="C13" s="32" t="s">
        <v>81</v>
      </c>
      <c r="D13" s="32" t="s">
        <v>82</v>
      </c>
      <c r="E13" s="50" t="s">
        <v>83</v>
      </c>
      <c r="F13" s="32" t="s">
        <v>84</v>
      </c>
      <c r="G13" s="50" t="s">
        <v>85</v>
      </c>
      <c r="H13" s="32" t="s">
        <v>86</v>
      </c>
      <c r="I13" s="32" t="s">
        <v>73</v>
      </c>
      <c r="J13" s="32" t="s">
        <v>74</v>
      </c>
      <c r="K13" s="71" t="s">
        <v>87</v>
      </c>
      <c r="M13" s="86" t="s">
        <v>54</v>
      </c>
      <c r="P13" s="166"/>
      <c r="Q13" s="166"/>
      <c r="R13" s="166"/>
      <c r="S13" s="91"/>
      <c r="V13" s="167"/>
      <c r="W13" s="167"/>
      <c r="X13" s="167"/>
      <c r="AB13" s="167"/>
      <c r="AC13" s="167"/>
      <c r="AD13" s="167"/>
    </row>
    <row r="14" spans="1:32" x14ac:dyDescent="0.25">
      <c r="B14" s="55" t="s">
        <v>88</v>
      </c>
      <c r="C14" s="104">
        <f>-ha_tyo!F9*B3*H3</f>
        <v>0</v>
      </c>
      <c r="D14" s="104">
        <f>-ha_muu!F9*C3*I3</f>
        <v>0</v>
      </c>
      <c r="E14" s="121">
        <f>-jl_tyo!F9*B4</f>
        <v>0</v>
      </c>
      <c r="F14" s="121">
        <f>-jl_muu!F9*C4</f>
        <v>0</v>
      </c>
      <c r="G14" s="121">
        <f>-pp_tyo!F9*B5</f>
        <v>0</v>
      </c>
      <c r="H14" s="121">
        <f>-pp_muu!F9*C5</f>
        <v>0</v>
      </c>
      <c r="I14" s="104">
        <f>-ka!F9*E3</f>
        <v>0</v>
      </c>
      <c r="J14" s="104">
        <f>-yhd!F9*F3</f>
        <v>0</v>
      </c>
      <c r="K14" s="80">
        <f>-pa!F9*D3</f>
        <v>0</v>
      </c>
      <c r="M14" s="182">
        <f>SUM(C14:L14)</f>
        <v>0</v>
      </c>
      <c r="P14" s="91"/>
      <c r="Q14" s="91"/>
      <c r="R14" s="91"/>
      <c r="S14" s="91"/>
      <c r="T14" s="13"/>
      <c r="V14" s="13"/>
      <c r="W14" s="13"/>
      <c r="X14" s="13"/>
      <c r="Y14" s="13"/>
      <c r="Z14" s="13"/>
      <c r="AB14" s="13"/>
      <c r="AC14" s="13"/>
      <c r="AD14" s="13"/>
      <c r="AE14" s="13"/>
      <c r="AF14" s="13"/>
    </row>
    <row r="15" spans="1:32" ht="15" customHeight="1" x14ac:dyDescent="0.25">
      <c r="B15" s="35" t="s">
        <v>89</v>
      </c>
      <c r="C15" s="104">
        <f>-ha_tyo!F10*B3*H3</f>
        <v>0</v>
      </c>
      <c r="D15" s="104">
        <f>-ha_muu!F10*C3*I3</f>
        <v>0</v>
      </c>
      <c r="E15" s="122">
        <f>-jl_tyo!F10*B4</f>
        <v>0</v>
      </c>
      <c r="F15" s="122">
        <f>-jl_muu!F10*C4</f>
        <v>0</v>
      </c>
      <c r="G15" s="121">
        <f>-pp_tyo!F10*B5</f>
        <v>0</v>
      </c>
      <c r="H15" s="121">
        <f>-pp_muu!F10*C5</f>
        <v>0</v>
      </c>
      <c r="I15" s="105">
        <f>-ka!F10*E3</f>
        <v>0</v>
      </c>
      <c r="J15" s="105">
        <f>-yhd!F10*F3</f>
        <v>0</v>
      </c>
      <c r="K15" s="120">
        <f>-pa!F10*D3</f>
        <v>0</v>
      </c>
      <c r="M15" s="183">
        <f>SUM(C15:L15)</f>
        <v>0</v>
      </c>
      <c r="P15" s="91"/>
      <c r="Q15" s="91"/>
      <c r="R15" s="91"/>
      <c r="S15" s="91"/>
      <c r="T15" s="13"/>
      <c r="V15" s="13"/>
      <c r="W15" s="13"/>
      <c r="X15" s="13"/>
      <c r="Y15" s="13"/>
      <c r="Z15" s="13"/>
      <c r="AB15" s="13"/>
      <c r="AC15" s="13"/>
      <c r="AD15" s="13"/>
      <c r="AE15" s="13"/>
      <c r="AF15" s="13"/>
    </row>
    <row r="16" spans="1:32" ht="15" customHeight="1" thickBot="1" x14ac:dyDescent="0.3">
      <c r="B16" s="56" t="s">
        <v>54</v>
      </c>
      <c r="C16" s="63">
        <f t="shared" ref="C16:K16" si="0">SUM(C14:C15)</f>
        <v>0</v>
      </c>
      <c r="D16" s="63">
        <f t="shared" si="0"/>
        <v>0</v>
      </c>
      <c r="E16" s="64">
        <f t="shared" si="0"/>
        <v>0</v>
      </c>
      <c r="F16" s="64">
        <f t="shared" si="0"/>
        <v>0</v>
      </c>
      <c r="G16" s="64">
        <f t="shared" si="0"/>
        <v>0</v>
      </c>
      <c r="H16" s="64">
        <f t="shared" si="0"/>
        <v>0</v>
      </c>
      <c r="I16" s="63">
        <f t="shared" si="0"/>
        <v>0</v>
      </c>
      <c r="J16" s="63">
        <f t="shared" si="0"/>
        <v>0</v>
      </c>
      <c r="K16" s="75">
        <f t="shared" si="0"/>
        <v>0</v>
      </c>
      <c r="M16" s="184">
        <f>SUM(C16:L16)</f>
        <v>0</v>
      </c>
      <c r="P16" s="13"/>
      <c r="Q16" s="13"/>
      <c r="R16" s="13"/>
      <c r="S16" s="13"/>
      <c r="T16" s="13"/>
      <c r="V16" s="13"/>
      <c r="W16" s="13"/>
      <c r="X16" s="13"/>
      <c r="Y16" s="13"/>
      <c r="Z16" s="13"/>
      <c r="AB16" s="13"/>
      <c r="AC16" s="13"/>
      <c r="AD16" s="13"/>
      <c r="AE16" s="13"/>
      <c r="AF16" s="13"/>
    </row>
    <row r="17" spans="1:32" ht="15" customHeight="1" thickBot="1" x14ac:dyDescent="0.3"/>
    <row r="18" spans="1:32" ht="15" customHeight="1" thickBot="1" x14ac:dyDescent="0.3">
      <c r="B18" s="86">
        <f>Diskonttaus!B6</f>
        <v>2060</v>
      </c>
      <c r="C18" s="32" t="s">
        <v>81</v>
      </c>
      <c r="D18" s="32" t="s">
        <v>82</v>
      </c>
      <c r="E18" s="50" t="s">
        <v>83</v>
      </c>
      <c r="F18" s="32" t="s">
        <v>84</v>
      </c>
      <c r="G18" s="50" t="s">
        <v>85</v>
      </c>
      <c r="H18" s="32" t="s">
        <v>86</v>
      </c>
      <c r="I18" s="32" t="s">
        <v>73</v>
      </c>
      <c r="J18" s="32" t="s">
        <v>74</v>
      </c>
      <c r="K18" s="71" t="s">
        <v>87</v>
      </c>
      <c r="M18" s="86" t="s">
        <v>54</v>
      </c>
      <c r="P18" s="166"/>
      <c r="Q18" s="166"/>
      <c r="R18" s="166"/>
      <c r="S18" s="91"/>
      <c r="V18" s="167"/>
      <c r="W18" s="167"/>
      <c r="X18" s="167"/>
      <c r="AB18" s="167"/>
      <c r="AC18" s="167"/>
      <c r="AD18" s="167"/>
    </row>
    <row r="19" spans="1:32" x14ac:dyDescent="0.25">
      <c r="B19" s="55" t="s">
        <v>88</v>
      </c>
      <c r="C19" s="104">
        <f>-ha_tyo!F14*B3*H3</f>
        <v>0</v>
      </c>
      <c r="D19" s="104">
        <f>-ha_muu!F14*C3*I3</f>
        <v>0</v>
      </c>
      <c r="E19" s="121">
        <f>-jl_tyo!F14*B4</f>
        <v>0</v>
      </c>
      <c r="F19" s="121">
        <f>-jl_muu!F14*C4</f>
        <v>0</v>
      </c>
      <c r="G19" s="121">
        <f>-pp_tyo!F14*B5</f>
        <v>0</v>
      </c>
      <c r="H19" s="121">
        <f>-pp_muu!F14*C5</f>
        <v>0</v>
      </c>
      <c r="I19" s="104">
        <f>-ka!F14*E3</f>
        <v>0</v>
      </c>
      <c r="J19" s="104">
        <f>-yhd!F14*F3</f>
        <v>0</v>
      </c>
      <c r="K19" s="80">
        <f>-pa!F14*D3</f>
        <v>0</v>
      </c>
      <c r="M19" s="182">
        <f>SUM(C19:L19)</f>
        <v>0</v>
      </c>
      <c r="P19" s="91"/>
      <c r="Q19" s="91"/>
      <c r="R19" s="91"/>
      <c r="S19" s="91"/>
      <c r="T19" s="13"/>
      <c r="V19" s="13"/>
      <c r="W19" s="13"/>
      <c r="X19" s="13"/>
      <c r="Y19" s="13"/>
      <c r="Z19" s="13"/>
      <c r="AB19" s="13"/>
      <c r="AC19" s="13"/>
      <c r="AD19" s="13"/>
      <c r="AE19" s="13"/>
      <c r="AF19" s="13"/>
    </row>
    <row r="20" spans="1:32" ht="15" customHeight="1" x14ac:dyDescent="0.25">
      <c r="B20" s="35" t="s">
        <v>89</v>
      </c>
      <c r="C20" s="104">
        <f>-ha_tyo!F15*B3*H3</f>
        <v>0</v>
      </c>
      <c r="D20" s="104">
        <f>-ha_muu!F15*C3*I3</f>
        <v>0</v>
      </c>
      <c r="E20" s="122">
        <f>-jl_tyo!F15*B4</f>
        <v>0</v>
      </c>
      <c r="F20" s="122">
        <f>-jl_muu!F15*C4</f>
        <v>0</v>
      </c>
      <c r="G20" s="121">
        <f>-pp_tyo!F15*B5</f>
        <v>0</v>
      </c>
      <c r="H20" s="121">
        <f>-pp_muu!F15*C5</f>
        <v>0</v>
      </c>
      <c r="I20" s="105">
        <f>-ka!F15*E3</f>
        <v>0</v>
      </c>
      <c r="J20" s="105">
        <f>-yhd!F15*F3</f>
        <v>0</v>
      </c>
      <c r="K20" s="80">
        <f>-pa!F15*D3</f>
        <v>0</v>
      </c>
      <c r="M20" s="183">
        <f>SUM(C20:L20)</f>
        <v>0</v>
      </c>
      <c r="P20" s="91"/>
      <c r="Q20" s="91"/>
      <c r="R20" s="91"/>
      <c r="S20" s="91"/>
      <c r="T20" s="13"/>
      <c r="V20" s="13"/>
      <c r="W20" s="13"/>
      <c r="X20" s="13"/>
      <c r="Y20" s="13"/>
      <c r="Z20" s="13"/>
      <c r="AB20" s="13"/>
      <c r="AC20" s="13"/>
      <c r="AD20" s="13"/>
      <c r="AE20" s="13"/>
      <c r="AF20" s="13"/>
    </row>
    <row r="21" spans="1:32" ht="15" customHeight="1" thickBot="1" x14ac:dyDescent="0.3">
      <c r="B21" s="56" t="s">
        <v>54</v>
      </c>
      <c r="C21" s="63">
        <f t="shared" ref="C21:K21" si="1">SUM(C19:C20)</f>
        <v>0</v>
      </c>
      <c r="D21" s="63">
        <f t="shared" si="1"/>
        <v>0</v>
      </c>
      <c r="E21" s="64">
        <f t="shared" si="1"/>
        <v>0</v>
      </c>
      <c r="F21" s="64">
        <f t="shared" si="1"/>
        <v>0</v>
      </c>
      <c r="G21" s="64">
        <f t="shared" si="1"/>
        <v>0</v>
      </c>
      <c r="H21" s="64">
        <f t="shared" si="1"/>
        <v>0</v>
      </c>
      <c r="I21" s="63">
        <f t="shared" ref="I21" si="2">SUM(I19:I20)</f>
        <v>0</v>
      </c>
      <c r="J21" s="63">
        <f t="shared" ref="J21" si="3">SUM(J19:J20)</f>
        <v>0</v>
      </c>
      <c r="K21" s="163">
        <f t="shared" si="1"/>
        <v>0</v>
      </c>
      <c r="M21" s="184">
        <f>SUM(C21:L21)</f>
        <v>0</v>
      </c>
      <c r="P21" s="13"/>
      <c r="Q21" s="13"/>
      <c r="R21" s="13"/>
      <c r="S21" s="13"/>
      <c r="T21" s="13"/>
      <c r="V21" s="13"/>
      <c r="W21" s="13"/>
      <c r="X21" s="13"/>
      <c r="Y21" s="13"/>
      <c r="Z21" s="13"/>
      <c r="AB21" s="13"/>
      <c r="AC21" s="13"/>
      <c r="AD21" s="13"/>
      <c r="AE21" s="13"/>
      <c r="AF21" s="13"/>
    </row>
    <row r="22" spans="1:32" ht="15" customHeight="1" thickBot="1" x14ac:dyDescent="0.3"/>
    <row r="23" spans="1:32" ht="21.6" customHeight="1" thickBot="1" x14ac:dyDescent="0.4">
      <c r="B23" s="132" t="s">
        <v>90</v>
      </c>
      <c r="C23" s="91"/>
      <c r="D23" s="91"/>
      <c r="E23" s="91"/>
      <c r="F23" s="91"/>
      <c r="H23" s="91"/>
      <c r="I23" s="91"/>
      <c r="J23" s="91"/>
      <c r="K23" s="91"/>
      <c r="M23" s="314">
        <f ca="1">IF(ISNUMBER(Diskonttaus!B20),Diskonttaus!B19*Kayttajahyodyt!M16+Diskonttaus!B20*Kayttajahyodyt!M21,Diskonttaus!B19*Kayttajahyodyt!M16)</f>
        <v>0</v>
      </c>
    </row>
    <row r="24" spans="1:32" ht="15" customHeight="1" x14ac:dyDescent="0.25"/>
    <row r="25" spans="1:32" ht="15" customHeight="1" thickBot="1" x14ac:dyDescent="0.3">
      <c r="A25" s="10" t="s">
        <v>91</v>
      </c>
      <c r="C25" s="17"/>
      <c r="D25" s="17"/>
      <c r="F25" s="17"/>
      <c r="H25" s="17"/>
      <c r="I25" s="17"/>
      <c r="J25" s="17"/>
      <c r="K25" s="17"/>
    </row>
    <row r="26" spans="1:32" ht="15" customHeight="1" thickBot="1" x14ac:dyDescent="0.3">
      <c r="B26" s="86">
        <f>Diskonttaus!B4</f>
        <v>2045</v>
      </c>
      <c r="C26" s="30" t="s">
        <v>81</v>
      </c>
      <c r="D26" s="59" t="s">
        <v>82</v>
      </c>
      <c r="I26" s="150" t="s">
        <v>73</v>
      </c>
      <c r="J26" s="30" t="s">
        <v>74</v>
      </c>
      <c r="K26" s="59" t="s">
        <v>87</v>
      </c>
      <c r="M26" s="86" t="s">
        <v>54</v>
      </c>
      <c r="P26" s="167"/>
      <c r="Q26" s="167"/>
      <c r="R26" s="167"/>
      <c r="V26" s="167"/>
      <c r="W26" s="167"/>
      <c r="X26" s="167"/>
    </row>
    <row r="27" spans="1:32" x14ac:dyDescent="0.25">
      <c r="B27" s="51" t="s">
        <v>88</v>
      </c>
      <c r="C27" s="68">
        <f>-E62*ha_tyo!F22</f>
        <v>0</v>
      </c>
      <c r="D27" s="103">
        <f>-E62*ha_muu!F22</f>
        <v>0</v>
      </c>
      <c r="E27" s="91"/>
      <c r="F27" s="91"/>
      <c r="G27" s="91"/>
      <c r="H27" s="91"/>
      <c r="I27" s="185">
        <f>-E65*ka!F22</f>
        <v>0</v>
      </c>
      <c r="J27" s="69">
        <f>-E66*yhd!F22</f>
        <v>0</v>
      </c>
      <c r="K27" s="103">
        <f>-E63*pa!F22</f>
        <v>0</v>
      </c>
      <c r="M27" s="182">
        <f>SUM(C27:L27)</f>
        <v>0</v>
      </c>
      <c r="P27" s="13"/>
      <c r="Q27" s="13"/>
      <c r="R27" s="13"/>
      <c r="S27" s="13"/>
      <c r="T27" s="13"/>
      <c r="V27" s="13"/>
      <c r="W27" s="13"/>
      <c r="X27" s="13"/>
      <c r="Y27" s="13"/>
      <c r="Z27" s="13"/>
    </row>
    <row r="28" spans="1:32" ht="15" customHeight="1" x14ac:dyDescent="0.25">
      <c r="B28" s="38" t="s">
        <v>89</v>
      </c>
      <c r="C28" s="70">
        <f>-E62*ha_tyo!F23</f>
        <v>0</v>
      </c>
      <c r="D28" s="62">
        <f>-E62*ha_muu!F23</f>
        <v>0</v>
      </c>
      <c r="E28" s="91"/>
      <c r="F28" s="91"/>
      <c r="G28" s="91"/>
      <c r="H28" s="91"/>
      <c r="I28" s="164">
        <f>-E65*ka!F23</f>
        <v>0</v>
      </c>
      <c r="J28" s="122">
        <f>-E66*yhd!F23</f>
        <v>0</v>
      </c>
      <c r="K28" s="62">
        <f>-E63*pa!F23</f>
        <v>0</v>
      </c>
      <c r="M28" s="183">
        <f>SUM(C28:L28)</f>
        <v>0</v>
      </c>
      <c r="P28" s="13"/>
      <c r="Q28" s="13"/>
      <c r="R28" s="13"/>
      <c r="S28" s="13"/>
      <c r="T28" s="13"/>
      <c r="V28" s="13"/>
      <c r="W28" s="13"/>
      <c r="X28" s="13"/>
      <c r="Y28" s="13"/>
      <c r="Z28" s="13"/>
    </row>
    <row r="29" spans="1:32" ht="15" customHeight="1" thickBot="1" x14ac:dyDescent="0.3">
      <c r="B29" s="52" t="s">
        <v>54</v>
      </c>
      <c r="C29" s="92">
        <f>SUM(C27:C28)</f>
        <v>0</v>
      </c>
      <c r="D29" s="163">
        <f>SUM(D27:D28)</f>
        <v>0</v>
      </c>
      <c r="E29" s="91"/>
      <c r="F29" s="91"/>
      <c r="G29" s="91"/>
      <c r="H29" s="91"/>
      <c r="I29" s="186">
        <f>SUM(I27:I28)</f>
        <v>0</v>
      </c>
      <c r="J29" s="64">
        <f>SUM(J27:J28)</f>
        <v>0</v>
      </c>
      <c r="K29" s="163">
        <f>SUM(K27:K28)</f>
        <v>0</v>
      </c>
      <c r="M29" s="184">
        <f>SUM(C29:L29)</f>
        <v>0</v>
      </c>
      <c r="P29" s="13"/>
      <c r="Q29" s="13"/>
      <c r="R29" s="13"/>
      <c r="S29" s="13"/>
      <c r="T29" s="13"/>
      <c r="V29" s="13"/>
      <c r="W29" s="13"/>
      <c r="X29" s="13"/>
      <c r="Y29" s="13"/>
      <c r="Z29" s="13"/>
    </row>
    <row r="30" spans="1:32" ht="15" customHeight="1" thickBot="1" x14ac:dyDescent="0.3"/>
    <row r="31" spans="1:32" ht="15" customHeight="1" thickBot="1" x14ac:dyDescent="0.3">
      <c r="B31" s="86">
        <f>Diskonttaus!B6</f>
        <v>2060</v>
      </c>
      <c r="C31" s="30" t="s">
        <v>81</v>
      </c>
      <c r="D31" s="59" t="s">
        <v>82</v>
      </c>
      <c r="F31" s="11"/>
      <c r="H31" s="11"/>
      <c r="I31" s="150" t="s">
        <v>73</v>
      </c>
      <c r="J31" s="30" t="s">
        <v>74</v>
      </c>
      <c r="K31" s="59" t="s">
        <v>87</v>
      </c>
      <c r="M31" s="67" t="s">
        <v>54</v>
      </c>
      <c r="P31" s="167"/>
      <c r="Q31" s="167"/>
      <c r="R31" s="167"/>
      <c r="V31" s="167"/>
      <c r="W31" s="167"/>
      <c r="X31" s="167"/>
    </row>
    <row r="32" spans="1:32" x14ac:dyDescent="0.25">
      <c r="B32" s="51" t="s">
        <v>88</v>
      </c>
      <c r="C32" s="68">
        <f>-E62*ha_tyo!F27</f>
        <v>0</v>
      </c>
      <c r="D32" s="103">
        <f>-E62*ha_muu!F27</f>
        <v>0</v>
      </c>
      <c r="F32" s="91"/>
      <c r="H32" s="91"/>
      <c r="I32" s="185">
        <f>-E65*ka!F27</f>
        <v>0</v>
      </c>
      <c r="J32" s="69">
        <f>-E66*yhd!F27</f>
        <v>0</v>
      </c>
      <c r="K32" s="103">
        <f>-E63*pa!F27</f>
        <v>0</v>
      </c>
      <c r="M32" s="182">
        <f>SUM(C32:L32)</f>
        <v>0</v>
      </c>
      <c r="P32" s="13"/>
      <c r="Q32" s="13"/>
      <c r="R32" s="13"/>
      <c r="S32" s="13"/>
      <c r="T32" s="13"/>
      <c r="V32" s="13"/>
      <c r="W32" s="13"/>
      <c r="X32" s="13"/>
      <c r="Y32" s="13"/>
      <c r="Z32" s="13"/>
    </row>
    <row r="33" spans="1:32" ht="15" customHeight="1" x14ac:dyDescent="0.25">
      <c r="B33" s="38" t="s">
        <v>89</v>
      </c>
      <c r="C33" s="70">
        <f>-E62*ha_tyo!F28</f>
        <v>0</v>
      </c>
      <c r="D33" s="62">
        <f>-E62*ha_muu!F28</f>
        <v>0</v>
      </c>
      <c r="F33" s="91"/>
      <c r="H33" s="91"/>
      <c r="I33" s="164">
        <f>-E65*ka!F28</f>
        <v>0</v>
      </c>
      <c r="J33" s="122">
        <f>-E66*yhd!F28</f>
        <v>0</v>
      </c>
      <c r="K33" s="62">
        <f>-E63*pa!F28</f>
        <v>0</v>
      </c>
      <c r="M33" s="183">
        <f>SUM(C33:L33)</f>
        <v>0</v>
      </c>
      <c r="P33" s="13"/>
      <c r="Q33" s="13"/>
      <c r="R33" s="13"/>
      <c r="S33" s="13"/>
      <c r="T33" s="13"/>
      <c r="V33" s="13"/>
      <c r="W33" s="13"/>
      <c r="X33" s="13"/>
      <c r="Y33" s="13"/>
      <c r="Z33" s="13"/>
    </row>
    <row r="34" spans="1:32" ht="15" customHeight="1" thickBot="1" x14ac:dyDescent="0.3">
      <c r="B34" s="52" t="s">
        <v>54</v>
      </c>
      <c r="C34" s="92">
        <f>SUM(C32:C33)</f>
        <v>0</v>
      </c>
      <c r="D34" s="163">
        <f>SUM(D32:D33)</f>
        <v>0</v>
      </c>
      <c r="F34" s="91"/>
      <c r="H34" s="91"/>
      <c r="I34" s="186">
        <f>SUM(I32:I33)</f>
        <v>0</v>
      </c>
      <c r="J34" s="64">
        <f>SUM(J32:J33)</f>
        <v>0</v>
      </c>
      <c r="K34" s="163">
        <f>SUM(K32:K33)</f>
        <v>0</v>
      </c>
      <c r="M34" s="184">
        <f>SUM(C34:L34)</f>
        <v>0</v>
      </c>
      <c r="P34" s="13"/>
      <c r="Q34" s="13"/>
      <c r="R34" s="13"/>
      <c r="S34" s="13"/>
      <c r="T34" s="13"/>
      <c r="V34" s="13"/>
      <c r="W34" s="13"/>
      <c r="X34" s="13"/>
      <c r="Y34" s="13"/>
      <c r="Z34" s="13"/>
    </row>
    <row r="35" spans="1:32" ht="15" customHeight="1" thickBot="1" x14ac:dyDescent="0.3"/>
    <row r="36" spans="1:32" ht="21.6" customHeight="1" thickBot="1" x14ac:dyDescent="0.4">
      <c r="B36" s="132" t="s">
        <v>90</v>
      </c>
      <c r="M36" s="314">
        <f ca="1">IF(ISNUMBER(Diskonttaus!B27),Diskonttaus!B26*Kayttajahyodyt!M29+Diskonttaus!B27*Kayttajahyodyt!M34,Diskonttaus!B26*Kayttajahyodyt!M29)</f>
        <v>0</v>
      </c>
    </row>
    <row r="37" spans="1:32" s="87" customFormat="1" x14ac:dyDescent="0.25"/>
    <row r="39" spans="1:32" ht="15" customHeight="1" x14ac:dyDescent="0.25"/>
    <row r="40" spans="1:32" ht="15" customHeight="1" thickBot="1" x14ac:dyDescent="0.3">
      <c r="A40" s="11" t="s">
        <v>92</v>
      </c>
    </row>
    <row r="41" spans="1:32" ht="15" customHeight="1" thickBot="1" x14ac:dyDescent="0.3">
      <c r="B41" s="86">
        <f>Diskonttaus!B4</f>
        <v>2045</v>
      </c>
      <c r="C41" s="32" t="s">
        <v>81</v>
      </c>
      <c r="D41" s="32" t="s">
        <v>82</v>
      </c>
      <c r="E41" s="50" t="s">
        <v>83</v>
      </c>
      <c r="F41" s="71" t="s">
        <v>84</v>
      </c>
      <c r="I41" s="150" t="s">
        <v>73</v>
      </c>
      <c r="J41" s="30" t="s">
        <v>74</v>
      </c>
      <c r="K41" s="59" t="s">
        <v>87</v>
      </c>
      <c r="M41" s="86" t="s">
        <v>54</v>
      </c>
      <c r="P41" s="167"/>
      <c r="Q41" s="167"/>
      <c r="R41" s="167"/>
      <c r="V41" s="167"/>
      <c r="W41" s="167"/>
      <c r="X41" s="167"/>
      <c r="AB41" s="167"/>
      <c r="AC41" s="167"/>
      <c r="AD41" s="167"/>
    </row>
    <row r="42" spans="1:32" x14ac:dyDescent="0.25">
      <c r="B42" s="55" t="s">
        <v>88</v>
      </c>
      <c r="C42" s="164">
        <f>-ha_tyo!F37</f>
        <v>0</v>
      </c>
      <c r="D42" s="121">
        <f>-ha_muu!F37</f>
        <v>0</v>
      </c>
      <c r="E42" s="121">
        <f>-jl_tyo!F37</f>
        <v>0</v>
      </c>
      <c r="F42" s="80">
        <f>-jl_muu!F37</f>
        <v>0</v>
      </c>
      <c r="H42" s="91"/>
      <c r="I42" s="185">
        <f>-ka!F37</f>
        <v>0</v>
      </c>
      <c r="J42" s="69">
        <f>-yhd!F37</f>
        <v>0</v>
      </c>
      <c r="K42" s="168">
        <f>-pa!F37</f>
        <v>0</v>
      </c>
      <c r="M42" s="182">
        <f>SUM(C42:L42)</f>
        <v>0</v>
      </c>
      <c r="P42" s="13"/>
      <c r="Q42" s="13"/>
      <c r="R42" s="13"/>
      <c r="S42" s="13"/>
      <c r="T42" s="13"/>
      <c r="V42" s="13"/>
      <c r="W42" s="13"/>
      <c r="X42" s="13"/>
      <c r="Y42" s="13"/>
      <c r="Z42" s="13"/>
      <c r="AB42" s="13"/>
      <c r="AC42" s="13"/>
      <c r="AD42" s="13"/>
      <c r="AE42" s="13"/>
      <c r="AF42" s="13"/>
    </row>
    <row r="43" spans="1:32" x14ac:dyDescent="0.25">
      <c r="B43" s="35" t="s">
        <v>89</v>
      </c>
      <c r="C43" s="165">
        <f>-ha_tyo!F38</f>
        <v>0</v>
      </c>
      <c r="D43" s="122">
        <f>-ha_muu!F38</f>
        <v>0</v>
      </c>
      <c r="E43" s="122">
        <f>-jl_tyo!F38</f>
        <v>0</v>
      </c>
      <c r="F43" s="120">
        <f>-jl_muu!F38</f>
        <v>0</v>
      </c>
      <c r="H43" s="91"/>
      <c r="I43" s="165">
        <f>-ka!F38</f>
        <v>0</v>
      </c>
      <c r="J43" s="122">
        <f>-yhd!F38</f>
        <v>0</v>
      </c>
      <c r="K43" s="120">
        <f>-pa!F38</f>
        <v>0</v>
      </c>
      <c r="M43" s="183">
        <f>SUM(C43:L43)</f>
        <v>0</v>
      </c>
      <c r="P43" s="13"/>
      <c r="Q43" s="13"/>
      <c r="R43" s="13"/>
      <c r="S43" s="13"/>
      <c r="T43" s="13"/>
      <c r="V43" s="13"/>
      <c r="W43" s="13"/>
      <c r="X43" s="13"/>
      <c r="Y43" s="13"/>
      <c r="Z43" s="13"/>
      <c r="AB43" s="13"/>
      <c r="AC43" s="13"/>
      <c r="AD43" s="13"/>
      <c r="AE43" s="13"/>
      <c r="AF43" s="13"/>
    </row>
    <row r="44" spans="1:32" ht="15" customHeight="1" thickBot="1" x14ac:dyDescent="0.3">
      <c r="B44" s="56" t="s">
        <v>54</v>
      </c>
      <c r="C44" s="186">
        <f>SUM(C42:C43)</f>
        <v>0</v>
      </c>
      <c r="D44" s="64">
        <f>SUM(D42:D43)</f>
        <v>0</v>
      </c>
      <c r="E44" s="64">
        <f>SUM(E42:E43)</f>
        <v>0</v>
      </c>
      <c r="F44" s="75">
        <f>SUM(F42:F43)</f>
        <v>0</v>
      </c>
      <c r="H44" s="91"/>
      <c r="I44" s="186">
        <f>SUM(I42:I43)</f>
        <v>0</v>
      </c>
      <c r="J44" s="64">
        <f>SUM(J42:J43)</f>
        <v>0</v>
      </c>
      <c r="K44" s="75">
        <f>SUM(K42:K43)</f>
        <v>0</v>
      </c>
      <c r="M44" s="184">
        <f>SUM(C44:L44)</f>
        <v>0</v>
      </c>
      <c r="P44" s="13"/>
      <c r="Q44" s="13"/>
      <c r="R44" s="13"/>
      <c r="S44" s="13"/>
      <c r="T44" s="13"/>
      <c r="V44" s="13"/>
      <c r="W44" s="13"/>
      <c r="X44" s="13"/>
      <c r="Y44" s="13"/>
      <c r="Z44" s="13"/>
      <c r="AB44" s="13"/>
      <c r="AC44" s="13"/>
      <c r="AD44" s="13"/>
      <c r="AE44" s="13"/>
      <c r="AF44" s="13"/>
    </row>
    <row r="45" spans="1:32" ht="15" customHeight="1" thickBot="1" x14ac:dyDescent="0.3"/>
    <row r="46" spans="1:32" ht="15" customHeight="1" thickBot="1" x14ac:dyDescent="0.3">
      <c r="B46" s="86">
        <f>Diskonttaus!B6</f>
        <v>2060</v>
      </c>
      <c r="C46" s="32" t="s">
        <v>81</v>
      </c>
      <c r="D46" s="32" t="s">
        <v>82</v>
      </c>
      <c r="E46" s="50" t="s">
        <v>83</v>
      </c>
      <c r="F46" s="71" t="s">
        <v>84</v>
      </c>
      <c r="I46" s="150" t="s">
        <v>73</v>
      </c>
      <c r="J46" s="30" t="s">
        <v>74</v>
      </c>
      <c r="K46" s="59" t="s">
        <v>87</v>
      </c>
      <c r="M46" s="86" t="s">
        <v>54</v>
      </c>
      <c r="P46" s="167"/>
      <c r="Q46" s="167"/>
      <c r="R46" s="167"/>
      <c r="V46" s="167"/>
      <c r="W46" s="167"/>
      <c r="X46" s="167"/>
      <c r="AB46" s="167"/>
      <c r="AC46" s="167"/>
      <c r="AD46" s="167"/>
    </row>
    <row r="47" spans="1:32" x14ac:dyDescent="0.25">
      <c r="B47" s="55" t="s">
        <v>88</v>
      </c>
      <c r="C47" s="164">
        <f>-ha_tyo!F42</f>
        <v>0</v>
      </c>
      <c r="D47" s="121">
        <f>-ha_muu!F42</f>
        <v>0</v>
      </c>
      <c r="E47" s="121">
        <f>-jl_tyo!F42</f>
        <v>0</v>
      </c>
      <c r="F47" s="80">
        <f>-jl_muu!F42</f>
        <v>0</v>
      </c>
      <c r="H47" s="91"/>
      <c r="I47" s="185">
        <f>-ka!F42</f>
        <v>0</v>
      </c>
      <c r="J47" s="69">
        <f>-yhd!G42</f>
        <v>0</v>
      </c>
      <c r="K47" s="168">
        <f>-pa!F42</f>
        <v>0</v>
      </c>
      <c r="M47" s="182">
        <f>SUM(C47:L47)</f>
        <v>0</v>
      </c>
      <c r="P47" s="13"/>
      <c r="Q47" s="13"/>
      <c r="R47" s="13"/>
      <c r="S47" s="13"/>
      <c r="T47" s="13"/>
      <c r="V47" s="13"/>
      <c r="W47" s="13"/>
      <c r="X47" s="13"/>
      <c r="Y47" s="13"/>
      <c r="Z47" s="13"/>
      <c r="AB47" s="13"/>
      <c r="AC47" s="13"/>
      <c r="AD47" s="13"/>
      <c r="AE47" s="13"/>
      <c r="AF47" s="13"/>
    </row>
    <row r="48" spans="1:32" x14ac:dyDescent="0.25">
      <c r="B48" s="35" t="s">
        <v>89</v>
      </c>
      <c r="C48" s="165">
        <f>-ha_tyo!F43</f>
        <v>0</v>
      </c>
      <c r="D48" s="122">
        <f>-ha_muu!F43</f>
        <v>0</v>
      </c>
      <c r="E48" s="122">
        <f>-jl_tyo!F43</f>
        <v>0</v>
      </c>
      <c r="F48" s="80">
        <f>-jl_muu!F43</f>
        <v>0</v>
      </c>
      <c r="H48" s="91"/>
      <c r="I48" s="164">
        <f>-ka!F43</f>
        <v>0</v>
      </c>
      <c r="J48" s="122">
        <f>-yhd!G43</f>
        <v>0</v>
      </c>
      <c r="K48" s="120">
        <f>-pa!F43</f>
        <v>0</v>
      </c>
      <c r="M48" s="183">
        <f>SUM(C48:L48)</f>
        <v>0</v>
      </c>
      <c r="P48" s="13"/>
      <c r="Q48" s="13"/>
      <c r="R48" s="13"/>
      <c r="S48" s="13"/>
      <c r="T48" s="13"/>
      <c r="V48" s="13"/>
      <c r="W48" s="13"/>
      <c r="X48" s="13"/>
      <c r="Y48" s="13"/>
      <c r="Z48" s="13"/>
      <c r="AB48" s="13"/>
      <c r="AC48" s="13"/>
      <c r="AD48" s="13"/>
      <c r="AE48" s="13"/>
      <c r="AF48" s="13"/>
    </row>
    <row r="49" spans="1:32" ht="15" customHeight="1" thickBot="1" x14ac:dyDescent="0.3">
      <c r="B49" s="56" t="s">
        <v>54</v>
      </c>
      <c r="C49" s="52">
        <f>SUM(C47:C48)</f>
        <v>0</v>
      </c>
      <c r="D49" s="45">
        <f>SUM(D47:D48)</f>
        <v>0</v>
      </c>
      <c r="E49" s="64">
        <f>SUM(E47:E48)</f>
        <v>0</v>
      </c>
      <c r="F49" s="75">
        <f>SUM(F47:F48)</f>
        <v>0</v>
      </c>
      <c r="I49" s="186">
        <f>SUM(I47:I48)</f>
        <v>0</v>
      </c>
      <c r="J49" s="64">
        <f>SUM(J47:J48)</f>
        <v>0</v>
      </c>
      <c r="K49" s="75">
        <f>SUM(K47:K48)</f>
        <v>0</v>
      </c>
      <c r="M49" s="184">
        <f>SUM(C49:L49)</f>
        <v>0</v>
      </c>
      <c r="P49" s="13"/>
      <c r="Q49" s="13"/>
      <c r="R49" s="13"/>
      <c r="S49" s="13"/>
      <c r="T49" s="13"/>
      <c r="V49" s="13"/>
      <c r="W49" s="13"/>
      <c r="X49" s="13"/>
      <c r="Y49" s="13"/>
      <c r="Z49" s="13"/>
      <c r="AB49" s="13"/>
      <c r="AC49" s="13"/>
      <c r="AD49" s="13"/>
      <c r="AE49" s="13"/>
      <c r="AF49" s="13"/>
    </row>
    <row r="50" spans="1:32" ht="15" customHeight="1" thickBot="1" x14ac:dyDescent="0.3"/>
    <row r="51" spans="1:32" ht="21.6" customHeight="1" thickBot="1" x14ac:dyDescent="0.4">
      <c r="B51" s="126" t="s">
        <v>90</v>
      </c>
      <c r="M51" s="314">
        <f ca="1">IF(ISNUMBER(Diskonttaus!B27),Diskonttaus!B26*Kayttajahyodyt!M44+Diskonttaus!B27*Kayttajahyodyt!M49,Diskonttaus!B26*Kayttajahyodyt!M44)</f>
        <v>0</v>
      </c>
    </row>
    <row r="58" spans="1:32" ht="21" customHeight="1" x14ac:dyDescent="0.35">
      <c r="B58" s="119" t="s">
        <v>93</v>
      </c>
    </row>
    <row r="59" spans="1:32" x14ac:dyDescent="0.25">
      <c r="B59" s="40" t="s">
        <v>68</v>
      </c>
    </row>
    <row r="60" spans="1:32" ht="15" customHeight="1" thickBot="1" x14ac:dyDescent="0.3"/>
    <row r="61" spans="1:32" ht="15" customHeight="1" thickBot="1" x14ac:dyDescent="0.3">
      <c r="A61">
        <f>Diskonttaus!B4</f>
        <v>2045</v>
      </c>
      <c r="B61" s="31" t="s">
        <v>94</v>
      </c>
      <c r="C61" s="30" t="s">
        <v>95</v>
      </c>
      <c r="D61" s="27" t="s">
        <v>96</v>
      </c>
      <c r="E61" s="28" t="s">
        <v>97</v>
      </c>
    </row>
    <row r="62" spans="1:32" x14ac:dyDescent="0.25">
      <c r="B62" s="21" t="s">
        <v>98</v>
      </c>
      <c r="C62" s="305">
        <f>IFERROR(INDEX('Liukuvat yksikkoarvot'!$B$21:$AN$35,MATCH($B62&amp;"/"&amp;C$61,'Liukuvat yksikkoarvot'!$A$21:$A$35,0),MATCH($A$61,'Liukuvat yksikkoarvot'!$B$20:$AN$20,0)),"")</f>
        <v>8.249999999999999E-2</v>
      </c>
      <c r="D62" s="306">
        <f>IFERROR(INDEX('Liukuvat yksikkoarvot'!$B$21:$AN$35,MATCH($B62&amp;"/"&amp;D$61,'Liukuvat yksikkoarvot'!$A$21:$A$35,0),MATCH($A$61,'Liukuvat yksikkoarvot'!$B$20:$AN$20,0)),"")</f>
        <v>0.03</v>
      </c>
      <c r="E62" s="307">
        <f>SUM(C62:D62)</f>
        <v>0.11249999999999999</v>
      </c>
      <c r="G62" s="146"/>
      <c r="H62" s="146"/>
      <c r="I62" s="146"/>
    </row>
    <row r="63" spans="1:32" x14ac:dyDescent="0.25">
      <c r="B63" s="35" t="s">
        <v>87</v>
      </c>
      <c r="C63" s="308">
        <f>IFERROR(INDEX('Liukuvat yksikkoarvot'!$B$21:$AN$35,MATCH($B63&amp;"/"&amp;C$61,'Liukuvat yksikkoarvot'!$A$21:$A$35,0),MATCH($A$61,'Liukuvat yksikkoarvot'!$B$20:$AN$20,0)),"")</f>
        <v>9.7499999999999989E-2</v>
      </c>
      <c r="D63" s="309">
        <f>IFERROR(INDEX('Liukuvat yksikkoarvot'!$B$21:$AN$35,MATCH($B63&amp;"/"&amp;D$61,'Liukuvat yksikkoarvot'!$A$21:$A$35,0),MATCH($A$61,'Liukuvat yksikkoarvot'!$B$20:$AN$20,0)),"")</f>
        <v>2.7000000000000003E-2</v>
      </c>
      <c r="E63" s="310">
        <f>IFERROR(INDEX('Liukuvat yksikkoarvot'!$B$21:$AN$35,MATCH($B63&amp;"/"&amp;E$61,'Liukuvat yksikkoarvot'!$A$21:$A$35,0),MATCH($A$61,'Liukuvat yksikkoarvot'!$B$20:$AN$20,0)),"")</f>
        <v>0.1245</v>
      </c>
      <c r="G63" s="146"/>
      <c r="H63" s="146"/>
      <c r="I63" s="146"/>
    </row>
    <row r="64" spans="1:32" x14ac:dyDescent="0.25">
      <c r="B64" s="35" t="s">
        <v>99</v>
      </c>
      <c r="C64" s="308">
        <f>IFERROR(INDEX('Liukuvat yksikkoarvot'!$B$21:$AN$35,MATCH($B64&amp;"/"&amp;C$61,'Liukuvat yksikkoarvot'!$A$21:$A$35,0),MATCH($A$61,'Liukuvat yksikkoarvot'!$B$20:$AN$20,0)),"")</f>
        <v>0.60650000000000004</v>
      </c>
      <c r="D64" s="309">
        <f>IFERROR(INDEX('Liukuvat yksikkoarvot'!$B$21:$AN$35,MATCH($B64&amp;"/"&amp;D$61,'Liukuvat yksikkoarvot'!$A$21:$A$35,0),MATCH($A$61,'Liukuvat yksikkoarvot'!$B$20:$AN$20,0)),"")</f>
        <v>6.3500000000000001E-2</v>
      </c>
      <c r="E64" s="310">
        <f>IFERROR(INDEX('Liukuvat yksikkoarvot'!$B$21:$AN$35,MATCH($B64&amp;"/"&amp;E$61,'Liukuvat yksikkoarvot'!$A$21:$A$35,0),MATCH($A$61,'Liukuvat yksikkoarvot'!$B$20:$AN$20,0)),"")</f>
        <v>0.67</v>
      </c>
      <c r="G64" s="146"/>
      <c r="H64" s="146"/>
      <c r="I64" s="146"/>
    </row>
    <row r="65" spans="1:17" x14ac:dyDescent="0.25">
      <c r="B65" s="35" t="s">
        <v>73</v>
      </c>
      <c r="C65" s="308">
        <f>IFERROR(INDEX('Liukuvat yksikkoarvot'!$B$21:$AN$35,MATCH($B65&amp;"/"&amp;C$61,'Liukuvat yksikkoarvot'!$A$21:$A$35,0),MATCH($A$61,'Liukuvat yksikkoarvot'!$B$20:$AN$20,0)),"")</f>
        <v>0.71250000000000002</v>
      </c>
      <c r="D65" s="309">
        <f>IFERROR(INDEX('Liukuvat yksikkoarvot'!$B$21:$AN$35,MATCH($B65&amp;"/"&amp;D$61,'Liukuvat yksikkoarvot'!$A$21:$A$35,0),MATCH($A$61,'Liukuvat yksikkoarvot'!$B$20:$AN$20,0)),"")</f>
        <v>0.124</v>
      </c>
      <c r="E65" s="310">
        <f>IFERROR(INDEX('Liukuvat yksikkoarvot'!$B$21:$AN$35,MATCH($B65&amp;"/"&amp;E$61,'Liukuvat yksikkoarvot'!$A$21:$A$35,0),MATCH($A$61,'Liukuvat yksikkoarvot'!$B$20:$AN$20,0)),"")</f>
        <v>0.83650000000000002</v>
      </c>
      <c r="G65" s="146"/>
      <c r="H65" s="146"/>
      <c r="I65" s="146"/>
    </row>
    <row r="66" spans="1:17" ht="15" customHeight="1" thickBot="1" x14ac:dyDescent="0.3">
      <c r="B66" s="33" t="s">
        <v>100</v>
      </c>
      <c r="C66" s="311">
        <f>IFERROR(INDEX('Liukuvat yksikkoarvot'!$B$21:$AN$35,MATCH($B66&amp;"/"&amp;C$61,'Liukuvat yksikkoarvot'!$A$21:$A$35,0),MATCH($A$61,'Liukuvat yksikkoarvot'!$B$20:$AN$20,0)),"")</f>
        <v>0.68399999999999994</v>
      </c>
      <c r="D66" s="312">
        <f>IFERROR(INDEX('Liukuvat yksikkoarvot'!$B$21:$AN$35,MATCH($B66&amp;"/"&amp;D$61,'Liukuvat yksikkoarvot'!$A$21:$A$35,0),MATCH($A$61,'Liukuvat yksikkoarvot'!$B$20:$AN$20,0)),"")</f>
        <v>0.1075</v>
      </c>
      <c r="E66" s="313">
        <f>IFERROR(INDEX('Liukuvat yksikkoarvot'!$B$21:$AN$35,MATCH($B66&amp;"/"&amp;E$61,'Liukuvat yksikkoarvot'!$A$21:$A$35,0),MATCH($A$61,'Liukuvat yksikkoarvot'!$B$20:$AN$20,0)),"")</f>
        <v>0.79149999999999998</v>
      </c>
      <c r="G66" s="146"/>
      <c r="H66" s="146"/>
      <c r="I66" s="146"/>
    </row>
    <row r="67" spans="1:17" ht="15" customHeight="1" thickBot="1" x14ac:dyDescent="0.3">
      <c r="C67" s="295"/>
      <c r="D67" s="295"/>
      <c r="E67" s="295"/>
      <c r="G67" s="146"/>
      <c r="H67" s="146"/>
      <c r="I67" s="146"/>
    </row>
    <row r="68" spans="1:17" ht="15.75" thickBot="1" x14ac:dyDescent="0.3">
      <c r="A68">
        <f>Diskonttaus!B6</f>
        <v>2060</v>
      </c>
      <c r="B68" s="31" t="s">
        <v>94</v>
      </c>
      <c r="C68" s="30" t="s">
        <v>95</v>
      </c>
      <c r="D68" s="27" t="s">
        <v>96</v>
      </c>
      <c r="E68" s="28" t="s">
        <v>97</v>
      </c>
    </row>
    <row r="69" spans="1:17" x14ac:dyDescent="0.25">
      <c r="B69" s="26" t="s">
        <v>98</v>
      </c>
      <c r="C69" s="305">
        <f>IFERROR(INDEX('Liukuvat yksikkoarvot'!$B$21:$AN$35,MATCH($B69&amp;"/"&amp;C$68,'Liukuvat yksikkoarvot'!$A$21:$A$35,0),MATCH($A$68,'Liukuvat yksikkoarvot'!$B$20:$AN$20,0)),"")</f>
        <v>7.6000000000000012E-2</v>
      </c>
      <c r="D69" s="306">
        <f>IFERROR(INDEX('Liukuvat yksikkoarvot'!$B$21:$AN$35,MATCH($B69&amp;"/"&amp;D$68,'Liukuvat yksikkoarvot'!$A$21:$A$35,0),MATCH($A$68,'Liukuvat yksikkoarvot'!$B$20:$AN$20,0)),"")</f>
        <v>2.4E-2</v>
      </c>
      <c r="E69" s="307">
        <f>IFERROR(INDEX('Liukuvat yksikkoarvot'!$B$21:$AN$35,MATCH($B69&amp;"/"&amp;E$68,'Liukuvat yksikkoarvot'!$A$21:$A$35,0),MATCH($A$68,'Liukuvat yksikkoarvot'!$B$20:$AN$20,0)),"")</f>
        <v>0.1</v>
      </c>
    </row>
    <row r="70" spans="1:17" x14ac:dyDescent="0.25">
      <c r="B70" s="38" t="s">
        <v>87</v>
      </c>
      <c r="C70" s="308">
        <f>IFERROR(INDEX('Liukuvat yksikkoarvot'!$B$21:$AN$35,MATCH($B70&amp;"/"&amp;C$68,'Liukuvat yksikkoarvot'!$A$21:$A$35,0),MATCH($A$68,'Liukuvat yksikkoarvot'!$B$20:$AN$20,0)),"")</f>
        <v>7.9000000000000001E-2</v>
      </c>
      <c r="D70" s="309">
        <f>IFERROR(INDEX('Liukuvat yksikkoarvot'!$B$21:$AN$35,MATCH($B70&amp;"/"&amp;D$68,'Liukuvat yksikkoarvot'!$A$21:$A$35,0),MATCH($A$68,'Liukuvat yksikkoarvot'!$B$20:$AN$20,0)),"")</f>
        <v>1.7000000000000001E-2</v>
      </c>
      <c r="E70" s="310">
        <f>IFERROR(INDEX('Liukuvat yksikkoarvot'!$B$21:$AN$35,MATCH($B70&amp;"/"&amp;E$68,'Liukuvat yksikkoarvot'!$A$21:$A$35,0),MATCH($A$68,'Liukuvat yksikkoarvot'!$B$20:$AN$20,0)),"")</f>
        <v>9.6000000000000002E-2</v>
      </c>
    </row>
    <row r="71" spans="1:17" ht="15" customHeight="1" x14ac:dyDescent="0.25">
      <c r="B71" s="38" t="s">
        <v>99</v>
      </c>
      <c r="C71" s="308">
        <f>IFERROR(INDEX('Liukuvat yksikkoarvot'!$B$21:$AN$35,MATCH($B71&amp;"/"&amp;C$68,'Liukuvat yksikkoarvot'!$A$21:$A$35,0),MATCH($A$68,'Liukuvat yksikkoarvot'!$B$20:$AN$20,0)),"")</f>
        <v>0.68499999999999994</v>
      </c>
      <c r="D71" s="309">
        <f>IFERROR(INDEX('Liukuvat yksikkoarvot'!$B$21:$AN$35,MATCH($B71&amp;"/"&amp;D$68,'Liukuvat yksikkoarvot'!$A$21:$A$35,0),MATCH($A$68,'Liukuvat yksikkoarvot'!$B$20:$AN$20,0)),"")</f>
        <v>4.4999999999999998E-2</v>
      </c>
      <c r="E71" s="310">
        <f>IFERROR(INDEX('Liukuvat yksikkoarvot'!$B$21:$AN$35,MATCH($B71&amp;"/"&amp;E$68,'Liukuvat yksikkoarvot'!$A$21:$A$35,0),MATCH($A$68,'Liukuvat yksikkoarvot'!$B$20:$AN$20,0)),"")</f>
        <v>0.73</v>
      </c>
    </row>
    <row r="72" spans="1:17" ht="15" customHeight="1" x14ac:dyDescent="0.25">
      <c r="B72" s="38" t="s">
        <v>73</v>
      </c>
      <c r="C72" s="308">
        <f>IFERROR(INDEX('Liukuvat yksikkoarvot'!$B$21:$AN$35,MATCH($B72&amp;"/"&amp;C$68,'Liukuvat yksikkoarvot'!$A$21:$A$35,0),MATCH($A$68,'Liukuvat yksikkoarvot'!$B$20:$AN$20,0)),"")</f>
        <v>0.63600000000000001</v>
      </c>
      <c r="D72" s="309">
        <f>IFERROR(INDEX('Liukuvat yksikkoarvot'!$B$21:$AN$35,MATCH($B72&amp;"/"&amp;D$68,'Liukuvat yksikkoarvot'!$A$21:$A$35,0),MATCH($A$68,'Liukuvat yksikkoarvot'!$B$20:$AN$20,0)),"")</f>
        <v>7.0999999999999994E-2</v>
      </c>
      <c r="E72" s="310">
        <f>IFERROR(INDEX('Liukuvat yksikkoarvot'!$B$21:$AN$35,MATCH($B72&amp;"/"&amp;E$68,'Liukuvat yksikkoarvot'!$A$21:$A$35,0),MATCH($A$68,'Liukuvat yksikkoarvot'!$B$20:$AN$20,0)),"")</f>
        <v>0.70699999999999996</v>
      </c>
    </row>
    <row r="73" spans="1:17" ht="15" customHeight="1" thickBot="1" x14ac:dyDescent="0.3">
      <c r="B73" s="39" t="s">
        <v>100</v>
      </c>
      <c r="C73" s="311">
        <f>IFERROR(INDEX('Liukuvat yksikkoarvot'!$B$21:$AN$35,MATCH($B73&amp;"/"&amp;C$68,'Liukuvat yksikkoarvot'!$A$21:$A$35,0),MATCH($A$68,'Liukuvat yksikkoarvot'!$B$20:$AN$20,0)),"")</f>
        <v>0.64900000000000002</v>
      </c>
      <c r="D73" s="312">
        <f>IFERROR(INDEX('Liukuvat yksikkoarvot'!$B$21:$AN$35,MATCH($B73&amp;"/"&amp;D$68,'Liukuvat yksikkoarvot'!$A$21:$A$35,0),MATCH($A$68,'Liukuvat yksikkoarvot'!$B$20:$AN$20,0)),"")</f>
        <v>6.4000000000000001E-2</v>
      </c>
      <c r="E73" s="313">
        <f>IFERROR(INDEX('Liukuvat yksikkoarvot'!$B$21:$AN$35,MATCH($B73&amp;"/"&amp;E$68,'Liukuvat yksikkoarvot'!$A$21:$A$35,0),MATCH($A$68,'Liukuvat yksikkoarvot'!$B$20:$AN$20,0)),"")</f>
        <v>0.71299999999999997</v>
      </c>
    </row>
    <row r="74" spans="1:17" ht="15" customHeight="1" x14ac:dyDescent="0.25"/>
    <row r="75" spans="1:17" ht="15" customHeight="1" thickBot="1" x14ac:dyDescent="0.3"/>
    <row r="76" spans="1:17" ht="15" customHeight="1" thickBot="1" x14ac:dyDescent="0.3">
      <c r="B76" s="31" t="s">
        <v>101</v>
      </c>
      <c r="C76" s="32">
        <f>Diskonttaus!B4</f>
        <v>2045</v>
      </c>
      <c r="D76" s="20"/>
      <c r="E76" s="20"/>
      <c r="H76" s="31" t="s">
        <v>102</v>
      </c>
      <c r="I76" s="32">
        <f>Diskonttaus!B4</f>
        <v>2045</v>
      </c>
      <c r="J76" s="20"/>
      <c r="K76" s="20"/>
      <c r="N76" s="31" t="s">
        <v>103</v>
      </c>
      <c r="O76" s="32">
        <f>Diskonttaus!B4</f>
        <v>2045</v>
      </c>
      <c r="P76" s="20"/>
      <c r="Q76" s="20"/>
    </row>
    <row r="77" spans="1:17" x14ac:dyDescent="0.25">
      <c r="B77" s="21" t="s">
        <v>98</v>
      </c>
      <c r="C77" s="24">
        <f>300*Ulkoisvaikutukset!O19</f>
        <v>0</v>
      </c>
      <c r="D77" s="22"/>
      <c r="E77" s="22"/>
      <c r="H77" s="26" t="s">
        <v>98</v>
      </c>
      <c r="I77" s="95">
        <f>$D62*C77</f>
        <v>0</v>
      </c>
      <c r="J77" s="96"/>
      <c r="K77" s="156"/>
      <c r="N77" s="26" t="s">
        <v>98</v>
      </c>
      <c r="O77" s="95">
        <f>$C62*C77</f>
        <v>0</v>
      </c>
      <c r="P77" s="96"/>
      <c r="Q77" s="156"/>
    </row>
    <row r="78" spans="1:17" x14ac:dyDescent="0.25">
      <c r="B78" s="35" t="s">
        <v>87</v>
      </c>
      <c r="C78" s="36">
        <f>300*(Ulkoisvaikutukset!O20)</f>
        <v>0</v>
      </c>
      <c r="D78" s="37"/>
      <c r="E78" s="37"/>
      <c r="H78" s="38" t="s">
        <v>87</v>
      </c>
      <c r="I78" s="97">
        <f>$D63*C78</f>
        <v>0</v>
      </c>
      <c r="J78" s="98"/>
      <c r="K78" s="157"/>
      <c r="N78" s="38" t="s">
        <v>87</v>
      </c>
      <c r="O78" s="97">
        <f>$C63*C78</f>
        <v>0</v>
      </c>
      <c r="P78" s="98"/>
      <c r="Q78" s="157"/>
    </row>
    <row r="79" spans="1:17" x14ac:dyDescent="0.25">
      <c r="B79" s="35" t="s">
        <v>99</v>
      </c>
      <c r="C79" s="36">
        <f>300*Ulkoisvaikutukset!O15</f>
        <v>0</v>
      </c>
      <c r="D79" s="37"/>
      <c r="E79" s="37"/>
      <c r="H79" s="38" t="s">
        <v>99</v>
      </c>
      <c r="I79" s="97">
        <f>$D64*C79</f>
        <v>0</v>
      </c>
      <c r="J79" s="98"/>
      <c r="K79" s="157"/>
      <c r="N79" s="38" t="s">
        <v>99</v>
      </c>
      <c r="O79" s="97">
        <f>$C64*C79</f>
        <v>0</v>
      </c>
      <c r="P79" s="98"/>
      <c r="Q79" s="157"/>
    </row>
    <row r="80" spans="1:17" x14ac:dyDescent="0.25">
      <c r="B80" s="35" t="s">
        <v>73</v>
      </c>
      <c r="C80" s="36">
        <f>300*Ulkoisvaikutukset!O21</f>
        <v>0</v>
      </c>
      <c r="D80" s="37"/>
      <c r="E80" s="37"/>
      <c r="H80" s="38" t="s">
        <v>73</v>
      </c>
      <c r="I80" s="97">
        <f>$D65*C80</f>
        <v>0</v>
      </c>
      <c r="J80" s="98"/>
      <c r="K80" s="157"/>
      <c r="N80" s="38" t="s">
        <v>73</v>
      </c>
      <c r="O80" s="97">
        <f>$C65*C80</f>
        <v>0</v>
      </c>
      <c r="P80" s="98"/>
      <c r="Q80" s="157"/>
    </row>
    <row r="81" spans="2:17" ht="15" customHeight="1" thickBot="1" x14ac:dyDescent="0.3">
      <c r="B81" s="33" t="s">
        <v>100</v>
      </c>
      <c r="C81" s="25">
        <f>300*Ulkoisvaikutukset!O22</f>
        <v>0</v>
      </c>
      <c r="D81" s="34"/>
      <c r="E81" s="34"/>
      <c r="H81" s="39" t="s">
        <v>100</v>
      </c>
      <c r="I81" s="99">
        <f>$D66*C81</f>
        <v>0</v>
      </c>
      <c r="J81" s="100"/>
      <c r="K81" s="158"/>
      <c r="N81" s="39" t="s">
        <v>100</v>
      </c>
      <c r="O81" s="99">
        <f>$C66*C81</f>
        <v>0</v>
      </c>
      <c r="P81" s="100"/>
      <c r="Q81" s="158"/>
    </row>
    <row r="82" spans="2:17" ht="15" customHeight="1" thickBot="1" x14ac:dyDescent="0.3">
      <c r="H82" s="10" t="s">
        <v>97</v>
      </c>
      <c r="I82" s="101">
        <f>SUM(I77:I81)</f>
        <v>0</v>
      </c>
      <c r="J82" s="101"/>
      <c r="K82" s="101"/>
      <c r="M82" s="24"/>
      <c r="N82" s="10" t="s">
        <v>97</v>
      </c>
      <c r="O82" s="101">
        <f>SUM(O77:O81)</f>
        <v>0</v>
      </c>
      <c r="P82" s="101"/>
      <c r="Q82" s="101"/>
    </row>
    <row r="83" spans="2:17" ht="15" customHeight="1" thickBot="1" x14ac:dyDescent="0.3">
      <c r="B83" s="31" t="s">
        <v>101</v>
      </c>
      <c r="C83" s="32">
        <f>Diskonttaus!B6</f>
        <v>2060</v>
      </c>
      <c r="D83" s="20"/>
      <c r="E83" s="20"/>
      <c r="H83" s="31" t="s">
        <v>102</v>
      </c>
      <c r="I83" s="32">
        <f>Diskonttaus!B6</f>
        <v>2060</v>
      </c>
      <c r="J83" s="20"/>
      <c r="K83" s="20"/>
      <c r="N83" s="31" t="s">
        <v>103</v>
      </c>
      <c r="O83" s="32">
        <f>Diskonttaus!B6</f>
        <v>2060</v>
      </c>
      <c r="P83" s="20"/>
      <c r="Q83" s="20"/>
    </row>
    <row r="84" spans="2:17" x14ac:dyDescent="0.25">
      <c r="B84" s="21" t="s">
        <v>98</v>
      </c>
      <c r="C84" s="24">
        <f>300*Ulkoisvaikutukset!O33</f>
        <v>0</v>
      </c>
      <c r="D84" s="29"/>
      <c r="E84" s="29"/>
      <c r="H84" s="26" t="s">
        <v>98</v>
      </c>
      <c r="I84" s="95">
        <f>$D62*C84</f>
        <v>0</v>
      </c>
      <c r="J84" s="96"/>
      <c r="K84" s="156"/>
      <c r="N84" s="26" t="s">
        <v>98</v>
      </c>
      <c r="O84" s="95">
        <f>$C62*C84</f>
        <v>0</v>
      </c>
      <c r="P84" s="96"/>
      <c r="Q84" s="156"/>
    </row>
    <row r="85" spans="2:17" x14ac:dyDescent="0.25">
      <c r="B85" s="35" t="s">
        <v>87</v>
      </c>
      <c r="C85" s="36">
        <f>300*Ulkoisvaikutukset!O34</f>
        <v>0</v>
      </c>
      <c r="D85" s="9"/>
      <c r="E85" s="9"/>
      <c r="H85" s="38" t="s">
        <v>87</v>
      </c>
      <c r="I85" s="97">
        <f>$D63*C85</f>
        <v>0</v>
      </c>
      <c r="J85" s="98"/>
      <c r="K85" s="157"/>
      <c r="N85" s="38" t="s">
        <v>87</v>
      </c>
      <c r="O85" s="97">
        <f>$C63*C85</f>
        <v>0</v>
      </c>
      <c r="P85" s="98"/>
      <c r="Q85" s="157"/>
    </row>
    <row r="86" spans="2:17" x14ac:dyDescent="0.25">
      <c r="B86" s="35" t="s">
        <v>99</v>
      </c>
      <c r="C86" s="36">
        <f>300*Ulkoisvaikutukset!O29</f>
        <v>0</v>
      </c>
      <c r="D86" s="9"/>
      <c r="E86" s="9"/>
      <c r="H86" s="38" t="s">
        <v>99</v>
      </c>
      <c r="I86" s="97">
        <f>$D64*C86</f>
        <v>0</v>
      </c>
      <c r="J86" s="98"/>
      <c r="K86" s="157"/>
      <c r="N86" s="38" t="s">
        <v>99</v>
      </c>
      <c r="O86" s="97">
        <f>$C64*C86</f>
        <v>0</v>
      </c>
      <c r="P86" s="98"/>
      <c r="Q86" s="157"/>
    </row>
    <row r="87" spans="2:17" x14ac:dyDescent="0.25">
      <c r="B87" s="35" t="s">
        <v>73</v>
      </c>
      <c r="C87" s="36">
        <f>300*Ulkoisvaikutukset!O35</f>
        <v>0</v>
      </c>
      <c r="D87" s="9"/>
      <c r="E87" s="9"/>
      <c r="H87" s="38" t="s">
        <v>73</v>
      </c>
      <c r="I87" s="97">
        <f>$D65*C87</f>
        <v>0</v>
      </c>
      <c r="J87" s="98"/>
      <c r="K87" s="157"/>
      <c r="N87" s="38" t="s">
        <v>73</v>
      </c>
      <c r="O87" s="97">
        <f>$C65*C87</f>
        <v>0</v>
      </c>
      <c r="P87" s="98"/>
      <c r="Q87" s="157"/>
    </row>
    <row r="88" spans="2:17" ht="15" customHeight="1" thickBot="1" x14ac:dyDescent="0.3">
      <c r="B88" s="33" t="s">
        <v>100</v>
      </c>
      <c r="C88" s="25">
        <f>300*Ulkoisvaikutukset!O36</f>
        <v>0</v>
      </c>
      <c r="D88" s="23"/>
      <c r="E88" s="23"/>
      <c r="H88" s="39" t="s">
        <v>100</v>
      </c>
      <c r="I88" s="99">
        <f>$D66*C88</f>
        <v>0</v>
      </c>
      <c r="J88" s="100"/>
      <c r="K88" s="158"/>
      <c r="N88" s="39" t="s">
        <v>100</v>
      </c>
      <c r="O88" s="99">
        <f>$C66*C88</f>
        <v>0</v>
      </c>
      <c r="P88" s="100"/>
      <c r="Q88" s="158"/>
    </row>
    <row r="89" spans="2:17" x14ac:dyDescent="0.25">
      <c r="B89" s="10"/>
      <c r="C89" s="94"/>
      <c r="D89" s="24"/>
      <c r="E89" s="24"/>
      <c r="G89" s="24"/>
      <c r="H89" s="10" t="s">
        <v>97</v>
      </c>
      <c r="I89" s="101">
        <f>SUM(I84:I88)</f>
        <v>0</v>
      </c>
      <c r="J89" s="101"/>
      <c r="K89" s="101"/>
      <c r="M89" s="24"/>
      <c r="N89" s="10" t="s">
        <v>97</v>
      </c>
      <c r="O89" s="101">
        <f>SUM(O84:O88)</f>
        <v>0</v>
      </c>
      <c r="P89" s="101"/>
      <c r="Q89" s="101"/>
    </row>
    <row r="92" spans="2:17" x14ac:dyDescent="0.25">
      <c r="B92" s="10"/>
    </row>
    <row r="95" spans="2:17" x14ac:dyDescent="0.25">
      <c r="B95" s="17"/>
    </row>
    <row r="99" spans="2:2" x14ac:dyDescent="0.25">
      <c r="B99" s="24"/>
    </row>
    <row r="100" spans="2:2" x14ac:dyDescent="0.25">
      <c r="B100" s="24"/>
    </row>
    <row r="105" spans="2:2" s="109" customFormat="1" x14ac:dyDescent="0.2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98</v>
      </c>
      <c r="B1" t="s">
        <v>104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0.42491089427065992</v>
      </c>
      <c r="C4" s="251">
        <v>9.2903879644533963E-2</v>
      </c>
      <c r="D4" s="252">
        <v>0.4017109482228714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98</v>
      </c>
      <c r="B1" t="s">
        <v>114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0.50581190904305739</v>
      </c>
      <c r="C4" s="251">
        <v>9.5982138594241886E-2</v>
      </c>
      <c r="D4" s="252">
        <v>0.38355689167496898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115</v>
      </c>
      <c r="B1" t="s">
        <v>104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0.53342735671064745</v>
      </c>
      <c r="C4" s="251">
        <v>0.11082732388014423</v>
      </c>
      <c r="D4" s="252">
        <v>0.4141292305134584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115</v>
      </c>
      <c r="B1" t="s">
        <v>114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0.6114786033543812</v>
      </c>
      <c r="C4" s="251">
        <v>0.10778752554496075</v>
      </c>
      <c r="D4" s="252">
        <v>0.40031292013253905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77</v>
      </c>
      <c r="B1" t="s">
        <v>104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0.62831936060779381</v>
      </c>
      <c r="C4" s="251">
        <v>0.13760094773974157</v>
      </c>
      <c r="D4" s="252">
        <v>0.5202210117903624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77</v>
      </c>
      <c r="B1" t="s">
        <v>114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0.62175078551802898</v>
      </c>
      <c r="C4" s="251">
        <v>8.663059093244195E-2</v>
      </c>
      <c r="D4" s="252">
        <v>0.36799378554134915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116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0.3</v>
      </c>
      <c r="C4" s="251">
        <v>0.1</v>
      </c>
      <c r="D4" s="252">
        <v>0.3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116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0.3</v>
      </c>
      <c r="C4" s="251">
        <v>0.1</v>
      </c>
      <c r="D4" s="252">
        <v>0.3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workbookViewId="0">
      <selection activeCell="K36" sqref="K36"/>
    </sheetView>
  </sheetViews>
  <sheetFormatPr defaultRowHeight="15" x14ac:dyDescent="0.25"/>
  <cols>
    <col min="1" max="1" width="18.42578125" bestFit="1" customWidth="1"/>
    <col min="2" max="5" width="9.28515625" customWidth="1"/>
    <col min="6" max="6" width="11.85546875" bestFit="1" customWidth="1"/>
  </cols>
  <sheetData>
    <row r="1" spans="1:6" x14ac:dyDescent="0.25">
      <c r="A1" t="s">
        <v>117</v>
      </c>
    </row>
    <row r="2" spans="1:6" ht="15.75" thickBot="1" x14ac:dyDescent="0.3">
      <c r="B2" t="s">
        <v>105</v>
      </c>
    </row>
    <row r="3" spans="1:6" ht="15.75" thickBot="1" x14ac:dyDescent="0.3">
      <c r="B3" s="150" t="s">
        <v>106</v>
      </c>
      <c r="C3" s="27" t="s">
        <v>107</v>
      </c>
      <c r="D3" s="28" t="s">
        <v>108</v>
      </c>
    </row>
    <row r="4" spans="1:6" ht="15.75" thickBot="1" x14ac:dyDescent="0.3">
      <c r="B4" s="250">
        <v>0.3</v>
      </c>
      <c r="C4" s="251">
        <v>0.1</v>
      </c>
      <c r="D4" s="252">
        <v>0.3</v>
      </c>
    </row>
    <row r="6" spans="1:6" x14ac:dyDescent="0.25">
      <c r="A6" t="s">
        <v>109</v>
      </c>
    </row>
    <row r="7" spans="1:6" ht="15.75" thickBot="1" x14ac:dyDescent="0.3"/>
    <row r="8" spans="1:6" x14ac:dyDescent="0.25">
      <c r="A8" s="194">
        <f>Diskonttaus!B4</f>
        <v>2045</v>
      </c>
      <c r="B8" s="150" t="s">
        <v>106</v>
      </c>
      <c r="C8" s="27" t="s">
        <v>107</v>
      </c>
      <c r="D8" s="27" t="s">
        <v>108</v>
      </c>
      <c r="E8" s="28" t="s">
        <v>110</v>
      </c>
      <c r="F8" s="59" t="s">
        <v>111</v>
      </c>
    </row>
    <row r="9" spans="1:6" x14ac:dyDescent="0.25">
      <c r="A9" s="195" t="s">
        <v>88</v>
      </c>
      <c r="B9" s="133"/>
      <c r="C9" s="134"/>
      <c r="D9" s="134"/>
      <c r="E9" s="62">
        <f>B9/B$4+C9/C$4+D9/D$4</f>
        <v>0</v>
      </c>
      <c r="F9" s="82">
        <f>E9/60*Diskonttaus!$B$11</f>
        <v>0</v>
      </c>
    </row>
    <row r="10" spans="1:6" ht="15.75" thickBot="1" x14ac:dyDescent="0.3">
      <c r="A10" s="196" t="s">
        <v>89</v>
      </c>
      <c r="B10" s="187"/>
      <c r="C10" s="188"/>
      <c r="D10" s="188"/>
      <c r="E10" s="189">
        <f>B10/B$4+C10/C$4+D10/D$4</f>
        <v>0</v>
      </c>
      <c r="F10" s="83">
        <f>E10/60*Diskonttaus!$B$11</f>
        <v>0</v>
      </c>
    </row>
    <row r="11" spans="1:6" ht="15.75" thickBot="1" x14ac:dyDescent="0.3">
      <c r="A11" s="197" t="s">
        <v>54</v>
      </c>
      <c r="B11" s="190">
        <f>B9+B10</f>
        <v>0</v>
      </c>
      <c r="C11" s="191">
        <f>C9+C10</f>
        <v>0</v>
      </c>
      <c r="D11" s="191">
        <f>D9+D10</f>
        <v>0</v>
      </c>
      <c r="E11" s="192">
        <f>B11/B$4+C11/C$4+D11/D$4</f>
        <v>0</v>
      </c>
      <c r="F11" s="193">
        <f>E11/60*Diskonttaus!$B$11</f>
        <v>0</v>
      </c>
    </row>
    <row r="12" spans="1:6" ht="15.75" thickBot="1" x14ac:dyDescent="0.3">
      <c r="A12" s="12"/>
    </row>
    <row r="13" spans="1:6" x14ac:dyDescent="0.25">
      <c r="A13" s="194">
        <f>Diskonttaus!B6</f>
        <v>2060</v>
      </c>
      <c r="B13" s="150" t="s">
        <v>106</v>
      </c>
      <c r="C13" s="27" t="s">
        <v>107</v>
      </c>
      <c r="D13" s="27" t="s">
        <v>108</v>
      </c>
      <c r="E13" s="28" t="s">
        <v>110</v>
      </c>
      <c r="F13" s="59" t="s">
        <v>111</v>
      </c>
    </row>
    <row r="14" spans="1:6" x14ac:dyDescent="0.25">
      <c r="A14" s="38" t="s">
        <v>88</v>
      </c>
      <c r="B14" s="133"/>
      <c r="C14" s="134"/>
      <c r="D14" s="134"/>
      <c r="E14" s="62">
        <f>B14/B$4+C14/C$4+D14/D$4</f>
        <v>0</v>
      </c>
      <c r="F14" s="82">
        <f>E14/60*Diskonttaus!$B$11</f>
        <v>0</v>
      </c>
    </row>
    <row r="15" spans="1:6" ht="15.75" thickBot="1" x14ac:dyDescent="0.3">
      <c r="A15" s="88" t="s">
        <v>89</v>
      </c>
      <c r="B15" s="187"/>
      <c r="C15" s="188"/>
      <c r="D15" s="188"/>
      <c r="E15" s="189">
        <f t="shared" ref="E15:E16" si="0">B15/B$4+C15/C$4+D15/D$4</f>
        <v>0</v>
      </c>
      <c r="F15" s="83">
        <f>E15/60*Diskonttaus!$B$11</f>
        <v>0</v>
      </c>
    </row>
    <row r="16" spans="1:6" ht="15.75" thickBot="1" x14ac:dyDescent="0.3">
      <c r="A16" s="66" t="s">
        <v>54</v>
      </c>
      <c r="B16" s="190">
        <f>B14+B15</f>
        <v>0</v>
      </c>
      <c r="C16" s="191">
        <f>C14+C15</f>
        <v>0</v>
      </c>
      <c r="D16" s="191">
        <f>D14+D15</f>
        <v>0</v>
      </c>
      <c r="E16" s="192">
        <f t="shared" si="0"/>
        <v>0</v>
      </c>
      <c r="F16" s="193">
        <f>E16/60*Diskonttaus!$B$11</f>
        <v>0</v>
      </c>
    </row>
    <row r="19" spans="1:6" x14ac:dyDescent="0.25">
      <c r="A19" t="s">
        <v>112</v>
      </c>
    </row>
    <row r="20" spans="1:6" ht="15.75" thickBot="1" x14ac:dyDescent="0.3"/>
    <row r="21" spans="1:6" x14ac:dyDescent="0.25">
      <c r="A21" s="194">
        <f>Diskonttaus!B4</f>
        <v>2045</v>
      </c>
      <c r="B21" s="150" t="s">
        <v>106</v>
      </c>
      <c r="C21" s="27" t="s">
        <v>107</v>
      </c>
      <c r="D21" s="27" t="s">
        <v>108</v>
      </c>
      <c r="E21" s="28" t="s">
        <v>110</v>
      </c>
      <c r="F21" s="59" t="s">
        <v>111</v>
      </c>
    </row>
    <row r="22" spans="1:6" x14ac:dyDescent="0.25">
      <c r="A22" s="195" t="s">
        <v>88</v>
      </c>
      <c r="B22" s="135"/>
      <c r="C22" s="136"/>
      <c r="D22" s="136"/>
      <c r="E22" s="62">
        <f t="shared" ref="E22:E24" si="1">B22/B$4+C22/C$4+D22/D$4</f>
        <v>0</v>
      </c>
      <c r="F22" s="82">
        <f>E22*Diskonttaus!$B$11</f>
        <v>0</v>
      </c>
    </row>
    <row r="23" spans="1:6" ht="15.75" thickBot="1" x14ac:dyDescent="0.3">
      <c r="A23" s="200" t="s">
        <v>89</v>
      </c>
      <c r="B23" s="198"/>
      <c r="C23" s="199"/>
      <c r="D23" s="199"/>
      <c r="E23" s="189">
        <f t="shared" si="1"/>
        <v>0</v>
      </c>
      <c r="F23" s="83">
        <f>E23*Diskonttaus!$B$11</f>
        <v>0</v>
      </c>
    </row>
    <row r="24" spans="1:6" ht="15.75" thickBot="1" x14ac:dyDescent="0.3">
      <c r="A24" s="197" t="s">
        <v>54</v>
      </c>
      <c r="B24" s="190">
        <f>B22+B23</f>
        <v>0</v>
      </c>
      <c r="C24" s="191">
        <f>C22+C23</f>
        <v>0</v>
      </c>
      <c r="D24" s="191">
        <f>D22+D23</f>
        <v>0</v>
      </c>
      <c r="E24" s="192">
        <f t="shared" si="1"/>
        <v>0</v>
      </c>
      <c r="F24" s="193">
        <f>E24*Diskonttaus!$B$11</f>
        <v>0</v>
      </c>
    </row>
    <row r="25" spans="1:6" ht="15.75" thickBot="1" x14ac:dyDescent="0.3">
      <c r="A25" s="12"/>
    </row>
    <row r="26" spans="1:6" x14ac:dyDescent="0.25">
      <c r="A26" s="194">
        <f>Diskonttaus!B6</f>
        <v>2060</v>
      </c>
      <c r="B26" s="150" t="s">
        <v>106</v>
      </c>
      <c r="C26" s="27" t="s">
        <v>107</v>
      </c>
      <c r="D26" s="27" t="s">
        <v>108</v>
      </c>
      <c r="E26" s="28" t="s">
        <v>110</v>
      </c>
      <c r="F26" s="59" t="s">
        <v>111</v>
      </c>
    </row>
    <row r="27" spans="1:6" x14ac:dyDescent="0.25">
      <c r="A27" s="38" t="s">
        <v>88</v>
      </c>
      <c r="B27" s="135"/>
      <c r="C27" s="136"/>
      <c r="D27" s="136"/>
      <c r="E27" s="62">
        <f t="shared" ref="E27:E29" si="2">B27/B$4+C27/C$4+D27/D$4</f>
        <v>0</v>
      </c>
      <c r="F27" s="82">
        <f>E27*Diskonttaus!$B$11</f>
        <v>0</v>
      </c>
    </row>
    <row r="28" spans="1:6" ht="15.75" thickBot="1" x14ac:dyDescent="0.3">
      <c r="A28" s="88" t="s">
        <v>89</v>
      </c>
      <c r="B28" s="198"/>
      <c r="C28" s="199"/>
      <c r="D28" s="199"/>
      <c r="E28" s="189">
        <f t="shared" si="2"/>
        <v>0</v>
      </c>
      <c r="F28" s="83">
        <f>E28*Diskonttaus!$B$11</f>
        <v>0</v>
      </c>
    </row>
    <row r="29" spans="1:6" ht="15.75" thickBot="1" x14ac:dyDescent="0.3">
      <c r="A29" s="66" t="s">
        <v>54</v>
      </c>
      <c r="B29" s="190">
        <f>B27+B28</f>
        <v>0</v>
      </c>
      <c r="C29" s="191">
        <f>C27+C28</f>
        <v>0</v>
      </c>
      <c r="D29" s="191">
        <f>D27+D28</f>
        <v>0</v>
      </c>
      <c r="E29" s="192">
        <f t="shared" si="2"/>
        <v>0</v>
      </c>
      <c r="F29" s="193">
        <f>E29*Diskonttaus!$B$11</f>
        <v>0</v>
      </c>
    </row>
    <row r="32" spans="1:6" x14ac:dyDescent="0.25">
      <c r="A32" s="87"/>
      <c r="B32" s="87"/>
      <c r="C32" s="87"/>
      <c r="D32" s="87"/>
      <c r="E32" s="87"/>
      <c r="F32" s="87"/>
    </row>
    <row r="34" spans="1:6" x14ac:dyDescent="0.25">
      <c r="A34" t="s">
        <v>113</v>
      </c>
    </row>
    <row r="35" spans="1:6" ht="15.75" thickBot="1" x14ac:dyDescent="0.3"/>
    <row r="36" spans="1:6" ht="15.75" thickBot="1" x14ac:dyDescent="0.3">
      <c r="A36" s="201">
        <v>2030</v>
      </c>
      <c r="B36" s="61" t="s">
        <v>106</v>
      </c>
      <c r="C36" s="50" t="s">
        <v>107</v>
      </c>
      <c r="D36" s="50" t="s">
        <v>108</v>
      </c>
      <c r="E36" s="20" t="s">
        <v>110</v>
      </c>
      <c r="F36" s="71" t="s">
        <v>111</v>
      </c>
    </row>
    <row r="37" spans="1:6" x14ac:dyDescent="0.25">
      <c r="A37" s="202" t="s">
        <v>88</v>
      </c>
      <c r="B37" s="135"/>
      <c r="C37" s="136"/>
      <c r="D37" s="136"/>
      <c r="E37" s="62">
        <f t="shared" ref="E37:E39" si="3">B37/B$4+C37/C$4+D37/D$4</f>
        <v>0</v>
      </c>
      <c r="F37" s="82">
        <f>E37*Diskonttaus!$B$11</f>
        <v>0</v>
      </c>
    </row>
    <row r="38" spans="1:6" ht="15.75" thickBot="1" x14ac:dyDescent="0.3">
      <c r="A38" s="203" t="s">
        <v>89</v>
      </c>
      <c r="B38" s="198"/>
      <c r="C38" s="199"/>
      <c r="D38" s="199"/>
      <c r="E38" s="189">
        <f t="shared" si="3"/>
        <v>0</v>
      </c>
      <c r="F38" s="83">
        <f>E38*Diskonttaus!$B$11</f>
        <v>0</v>
      </c>
    </row>
    <row r="39" spans="1:6" ht="15.75" thickBot="1" x14ac:dyDescent="0.3">
      <c r="A39" s="204" t="s">
        <v>54</v>
      </c>
      <c r="B39" s="190">
        <f>B37+B38</f>
        <v>0</v>
      </c>
      <c r="C39" s="191">
        <f>C37+C38</f>
        <v>0</v>
      </c>
      <c r="D39" s="191">
        <f>D37+D38</f>
        <v>0</v>
      </c>
      <c r="E39" s="192">
        <f t="shared" si="3"/>
        <v>0</v>
      </c>
      <c r="F39" s="193">
        <f>E39*Diskonttaus!$B$11</f>
        <v>0</v>
      </c>
    </row>
    <row r="40" spans="1:6" ht="15.75" thickBot="1" x14ac:dyDescent="0.3">
      <c r="A40" s="12"/>
    </row>
    <row r="41" spans="1:6" ht="15.75" thickBot="1" x14ac:dyDescent="0.3">
      <c r="A41" s="201">
        <v>2050</v>
      </c>
      <c r="B41" s="61" t="s">
        <v>106</v>
      </c>
      <c r="C41" s="50" t="s">
        <v>107</v>
      </c>
      <c r="D41" s="50" t="s">
        <v>108</v>
      </c>
      <c r="E41" s="20" t="s">
        <v>110</v>
      </c>
      <c r="F41" s="71" t="s">
        <v>111</v>
      </c>
    </row>
    <row r="42" spans="1:6" x14ac:dyDescent="0.25">
      <c r="A42" s="202" t="s">
        <v>88</v>
      </c>
      <c r="B42" s="135"/>
      <c r="C42" s="136"/>
      <c r="D42" s="136"/>
      <c r="E42" s="62">
        <f t="shared" ref="E42:E44" si="4">B42/B$4+C42/C$4+D42/D$4</f>
        <v>0</v>
      </c>
      <c r="F42" s="82">
        <f>E42*Diskonttaus!$B$11</f>
        <v>0</v>
      </c>
    </row>
    <row r="43" spans="1:6" ht="15.75" thickBot="1" x14ac:dyDescent="0.3">
      <c r="A43" s="203" t="s">
        <v>89</v>
      </c>
      <c r="B43" s="198"/>
      <c r="C43" s="199"/>
      <c r="D43" s="199"/>
      <c r="E43" s="189">
        <f t="shared" si="4"/>
        <v>0</v>
      </c>
      <c r="F43" s="83">
        <f>E43*Diskonttaus!$B$11</f>
        <v>0</v>
      </c>
    </row>
    <row r="44" spans="1:6" ht="15.75" thickBot="1" x14ac:dyDescent="0.3">
      <c r="A44" s="86" t="s">
        <v>54</v>
      </c>
      <c r="B44" s="190">
        <f>B42+B43</f>
        <v>0</v>
      </c>
      <c r="C44" s="191">
        <f>C42+C43</f>
        <v>0</v>
      </c>
      <c r="D44" s="191">
        <f>D42+D43</f>
        <v>0</v>
      </c>
      <c r="E44" s="192">
        <f t="shared" si="4"/>
        <v>0</v>
      </c>
      <c r="F44" s="193">
        <f>E44*Diskonttaus!$B$11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ul2"/>
  <dimension ref="A2:U105"/>
  <sheetViews>
    <sheetView topLeftCell="C1" zoomScaleNormal="100" workbookViewId="0">
      <selection activeCell="I34" sqref="I34"/>
    </sheetView>
  </sheetViews>
  <sheetFormatPr defaultRowHeight="15" x14ac:dyDescent="0.25"/>
  <cols>
    <col min="1" max="1" width="41.85546875" customWidth="1"/>
    <col min="2" max="2" width="21" customWidth="1"/>
    <col min="3" max="3" width="20.7109375" customWidth="1"/>
    <col min="4" max="4" width="10.5703125" bestFit="1" customWidth="1"/>
    <col min="6" max="6" width="26" bestFit="1" customWidth="1"/>
    <col min="7" max="7" width="10.5703125" bestFit="1" customWidth="1"/>
    <col min="8" max="8" width="10" bestFit="1" customWidth="1"/>
    <col min="11" max="11" width="26" bestFit="1" customWidth="1"/>
    <col min="12" max="12" width="14.85546875" bestFit="1" customWidth="1"/>
    <col min="13" max="13" width="13.28515625" bestFit="1" customWidth="1"/>
    <col min="14" max="14" width="9.28515625" bestFit="1" customWidth="1"/>
    <col min="15" max="15" width="17.5703125" bestFit="1" customWidth="1"/>
    <col min="18" max="18" width="11.5703125" bestFit="1" customWidth="1"/>
    <col min="20" max="20" width="10" bestFit="1" customWidth="1"/>
    <col min="21" max="21" width="10.140625" customWidth="1"/>
    <col min="22" max="22" width="10.5703125" customWidth="1"/>
  </cols>
  <sheetData>
    <row r="2" spans="1:21" x14ac:dyDescent="0.25">
      <c r="A2" s="256" t="s">
        <v>118</v>
      </c>
    </row>
    <row r="3" spans="1:21" x14ac:dyDescent="0.25">
      <c r="A3" s="256" t="s">
        <v>119</v>
      </c>
      <c r="B3" s="256" t="s">
        <v>120</v>
      </c>
    </row>
    <row r="4" spans="1:21" x14ac:dyDescent="0.25">
      <c r="B4" s="256" t="s">
        <v>121</v>
      </c>
    </row>
    <row r="5" spans="1:21" x14ac:dyDescent="0.25">
      <c r="A5" s="11" t="s">
        <v>122</v>
      </c>
      <c r="B5" s="256" t="s">
        <v>123</v>
      </c>
    </row>
    <row r="6" spans="1:21" ht="15" customHeight="1" thickBot="1" x14ac:dyDescent="0.3">
      <c r="K6" s="10" t="s">
        <v>124</v>
      </c>
    </row>
    <row r="7" spans="1:21" ht="15" customHeight="1" thickBot="1" x14ac:dyDescent="0.3">
      <c r="A7" s="8" t="s">
        <v>125</v>
      </c>
      <c r="B7" s="8" t="s">
        <v>126</v>
      </c>
      <c r="C7" s="8" t="s">
        <v>127</v>
      </c>
      <c r="D7" s="8" t="s">
        <v>128</v>
      </c>
      <c r="E7" s="14"/>
      <c r="F7" s="8" t="s">
        <v>125</v>
      </c>
      <c r="G7" s="8" t="s">
        <v>129</v>
      </c>
      <c r="H7" s="8" t="s">
        <v>130</v>
      </c>
      <c r="I7" s="8" t="s">
        <v>131</v>
      </c>
      <c r="K7" s="86">
        <f>Diskonttaus!B4</f>
        <v>2045</v>
      </c>
      <c r="L7" s="32" t="s">
        <v>132</v>
      </c>
      <c r="M7" s="50" t="s">
        <v>132</v>
      </c>
      <c r="N7" s="50" t="s">
        <v>132</v>
      </c>
      <c r="O7" s="73" t="s">
        <v>54</v>
      </c>
      <c r="R7" s="8" t="s">
        <v>125</v>
      </c>
      <c r="S7" s="8" t="s">
        <v>129</v>
      </c>
      <c r="T7" s="8" t="s">
        <v>133</v>
      </c>
      <c r="U7" s="8" t="s">
        <v>131</v>
      </c>
    </row>
    <row r="8" spans="1:21" x14ac:dyDescent="0.25">
      <c r="A8" s="8" t="s">
        <v>134</v>
      </c>
      <c r="B8" s="243">
        <f>B16*$B$14</f>
        <v>0.87207045009784201</v>
      </c>
      <c r="C8" s="243">
        <f>C16*$B$14</f>
        <v>59.854673189823508</v>
      </c>
      <c r="D8" s="244"/>
      <c r="E8" s="14"/>
      <c r="F8" s="54" t="s">
        <v>134</v>
      </c>
      <c r="G8" s="58">
        <f>Diskonttaus!$B$11*S8</f>
        <v>0</v>
      </c>
      <c r="H8" s="58">
        <f>Diskonttaus!$B$11*T8/60</f>
        <v>0</v>
      </c>
      <c r="I8" s="58">
        <f>U8</f>
        <v>0</v>
      </c>
      <c r="K8" s="55" t="s">
        <v>134</v>
      </c>
      <c r="L8" s="104">
        <f t="shared" ref="L8:N12" si="0">B8*G8</f>
        <v>0</v>
      </c>
      <c r="M8" s="121">
        <f t="shared" si="0"/>
        <v>0</v>
      </c>
      <c r="N8" s="121">
        <f t="shared" si="0"/>
        <v>0</v>
      </c>
      <c r="O8" s="121">
        <f t="shared" ref="O8:O13" si="1">SUM(L8:N8)</f>
        <v>0</v>
      </c>
      <c r="R8" s="8" t="s">
        <v>134</v>
      </c>
      <c r="S8" s="138"/>
      <c r="T8" s="138"/>
      <c r="U8" s="8"/>
    </row>
    <row r="9" spans="1:21" x14ac:dyDescent="0.25">
      <c r="A9" s="8" t="s">
        <v>135</v>
      </c>
      <c r="B9" s="243">
        <f t="shared" ref="B9:C9" si="2">B17*$B$14</f>
        <v>0.91920939334637408</v>
      </c>
      <c r="C9" s="243">
        <f t="shared" si="2"/>
        <v>62.411960861056372</v>
      </c>
      <c r="D9" s="244"/>
      <c r="E9" s="15"/>
      <c r="F9" s="54" t="s">
        <v>135</v>
      </c>
      <c r="G9" s="58">
        <f>Diskonttaus!$B$11*S9</f>
        <v>0</v>
      </c>
      <c r="H9" s="58">
        <f>Diskonttaus!$B$11*T9/60</f>
        <v>0</v>
      </c>
      <c r="I9" s="58">
        <f t="shared" ref="I9:I12" si="3">U9</f>
        <v>0</v>
      </c>
      <c r="K9" s="35" t="s">
        <v>135</v>
      </c>
      <c r="L9" s="105">
        <f t="shared" si="0"/>
        <v>0</v>
      </c>
      <c r="M9" s="122">
        <f t="shared" si="0"/>
        <v>0</v>
      </c>
      <c r="N9" s="122">
        <f t="shared" si="0"/>
        <v>0</v>
      </c>
      <c r="O9" s="122">
        <f t="shared" si="1"/>
        <v>0</v>
      </c>
      <c r="R9" s="8" t="s">
        <v>135</v>
      </c>
      <c r="S9" s="138"/>
      <c r="T9" s="138"/>
      <c r="U9" s="8"/>
    </row>
    <row r="10" spans="1:21" x14ac:dyDescent="0.25">
      <c r="A10" s="8" t="s">
        <v>136</v>
      </c>
      <c r="B10" s="243">
        <f t="shared" ref="B10:C10" si="4">B18*$B$14</f>
        <v>2.7104892367905897</v>
      </c>
      <c r="C10" s="243">
        <f t="shared" si="4"/>
        <v>97.813307240703907</v>
      </c>
      <c r="D10" s="244"/>
      <c r="E10" s="15"/>
      <c r="F10" s="54" t="s">
        <v>136</v>
      </c>
      <c r="G10" s="58">
        <f>Diskonttaus!$B$11*S10</f>
        <v>0</v>
      </c>
      <c r="H10" s="58">
        <f>Diskonttaus!$B$11*T10/60</f>
        <v>0</v>
      </c>
      <c r="I10" s="58">
        <f t="shared" si="3"/>
        <v>0</v>
      </c>
      <c r="K10" s="35" t="s">
        <v>136</v>
      </c>
      <c r="L10" s="105">
        <f>B10*G10</f>
        <v>0</v>
      </c>
      <c r="M10" s="122">
        <f t="shared" si="0"/>
        <v>0</v>
      </c>
      <c r="N10" s="122">
        <f t="shared" si="0"/>
        <v>0</v>
      </c>
      <c r="O10" s="122">
        <f t="shared" si="1"/>
        <v>0</v>
      </c>
      <c r="R10" s="8" t="s">
        <v>136</v>
      </c>
      <c r="S10" s="138"/>
      <c r="T10" s="138"/>
      <c r="U10" s="8"/>
    </row>
    <row r="11" spans="1:21" x14ac:dyDescent="0.25">
      <c r="A11" s="8" t="s">
        <v>137</v>
      </c>
      <c r="B11" s="243">
        <f t="shared" ref="B11:D11" si="5">B19*$B$14</f>
        <v>0.54209784735811806</v>
      </c>
      <c r="C11" s="243">
        <f t="shared" si="5"/>
        <v>237.03817612524315</v>
      </c>
      <c r="D11" s="243">
        <f t="shared" si="5"/>
        <v>829719.39582192164</v>
      </c>
      <c r="E11" s="15"/>
      <c r="F11" s="54" t="s">
        <v>137</v>
      </c>
      <c r="G11" s="58">
        <f>Diskonttaus!$B$11*S11</f>
        <v>0</v>
      </c>
      <c r="H11" s="58">
        <f>Diskonttaus!$B$11*T11/60</f>
        <v>0</v>
      </c>
      <c r="I11" s="58">
        <f t="shared" si="3"/>
        <v>0</v>
      </c>
      <c r="K11" s="35" t="s">
        <v>137</v>
      </c>
      <c r="L11" s="105">
        <f t="shared" si="0"/>
        <v>0</v>
      </c>
      <c r="M11" s="122">
        <f t="shared" si="0"/>
        <v>0</v>
      </c>
      <c r="N11" s="122">
        <f t="shared" si="0"/>
        <v>0</v>
      </c>
      <c r="O11" s="122">
        <f t="shared" si="1"/>
        <v>0</v>
      </c>
      <c r="R11" s="8" t="s">
        <v>137</v>
      </c>
      <c r="S11" s="138"/>
      <c r="T11" s="138"/>
      <c r="U11" s="143"/>
    </row>
    <row r="12" spans="1:21" x14ac:dyDescent="0.25">
      <c r="A12" s="8" t="s">
        <v>138</v>
      </c>
      <c r="B12" s="243">
        <f t="shared" ref="B12:C12" si="6">B20*$B$14</f>
        <v>6.5994520547944795</v>
      </c>
      <c r="C12" s="243">
        <f t="shared" si="6"/>
        <v>688.22857142856719</v>
      </c>
      <c r="D12" s="244"/>
      <c r="E12" s="47"/>
      <c r="F12" s="54" t="s">
        <v>138</v>
      </c>
      <c r="G12" s="58">
        <f>Diskonttaus!$B$11*S12</f>
        <v>0</v>
      </c>
      <c r="H12" s="58">
        <f>Diskonttaus!$B$11*T12/60</f>
        <v>0</v>
      </c>
      <c r="I12" s="58">
        <f t="shared" si="3"/>
        <v>0</v>
      </c>
      <c r="K12" s="35" t="s">
        <v>138</v>
      </c>
      <c r="L12" s="105">
        <f t="shared" si="0"/>
        <v>0</v>
      </c>
      <c r="M12" s="122">
        <f t="shared" si="0"/>
        <v>0</v>
      </c>
      <c r="N12" s="122">
        <f t="shared" si="0"/>
        <v>0</v>
      </c>
      <c r="O12" s="122">
        <f t="shared" si="1"/>
        <v>0</v>
      </c>
      <c r="R12" s="8" t="s">
        <v>138</v>
      </c>
      <c r="S12" s="138"/>
      <c r="T12" s="138"/>
      <c r="U12" s="143"/>
    </row>
    <row r="13" spans="1:21" ht="15" customHeight="1" thickBot="1" x14ac:dyDescent="0.3">
      <c r="K13" s="72" t="s">
        <v>54</v>
      </c>
      <c r="L13" s="105">
        <f>SUM(L8:L12)</f>
        <v>0</v>
      </c>
      <c r="M13" s="122">
        <f>SUM(M8:M12)</f>
        <v>0</v>
      </c>
      <c r="N13" s="122">
        <f>SUM(N8:N12)</f>
        <v>0</v>
      </c>
      <c r="O13" s="110">
        <f t="shared" si="1"/>
        <v>0</v>
      </c>
    </row>
    <row r="14" spans="1:21" ht="15" customHeight="1" thickBot="1" x14ac:dyDescent="0.3">
      <c r="A14" s="11" t="s">
        <v>139</v>
      </c>
      <c r="B14" s="254">
        <v>1.1784735812133</v>
      </c>
      <c r="L14" s="91"/>
      <c r="M14" s="91"/>
      <c r="N14" s="91"/>
      <c r="O14" s="91"/>
      <c r="T14" s="13"/>
    </row>
    <row r="15" spans="1:21" ht="15" customHeight="1" thickBot="1" x14ac:dyDescent="0.3">
      <c r="A15" s="11"/>
      <c r="F15" s="8" t="s">
        <v>125</v>
      </c>
      <c r="G15" s="8" t="s">
        <v>129</v>
      </c>
      <c r="H15" s="8" t="s">
        <v>130</v>
      </c>
      <c r="I15" s="8" t="s">
        <v>131</v>
      </c>
      <c r="K15" s="86">
        <f>Diskonttaus!B6</f>
        <v>2060</v>
      </c>
      <c r="L15" s="32" t="s">
        <v>132</v>
      </c>
      <c r="M15" s="50" t="s">
        <v>132</v>
      </c>
      <c r="N15" s="50" t="s">
        <v>132</v>
      </c>
      <c r="O15" s="73" t="s">
        <v>54</v>
      </c>
      <c r="R15" s="8" t="s">
        <v>125</v>
      </c>
      <c r="S15" s="8" t="s">
        <v>129</v>
      </c>
      <c r="T15" s="8" t="s">
        <v>133</v>
      </c>
      <c r="U15" s="8" t="s">
        <v>131</v>
      </c>
    </row>
    <row r="16" spans="1:21" x14ac:dyDescent="0.25">
      <c r="A16" s="255" t="s">
        <v>140</v>
      </c>
      <c r="B16">
        <v>0.74</v>
      </c>
      <c r="C16">
        <v>50.79</v>
      </c>
      <c r="F16" s="8" t="s">
        <v>134</v>
      </c>
      <c r="G16" s="58">
        <f>Diskonttaus!$B$11*S16</f>
        <v>0</v>
      </c>
      <c r="H16" s="58">
        <f>Diskonttaus!$B$11*T16/60</f>
        <v>0</v>
      </c>
      <c r="I16" s="58">
        <f>U16</f>
        <v>0</v>
      </c>
      <c r="K16" s="55" t="s">
        <v>134</v>
      </c>
      <c r="L16" s="104">
        <f t="shared" ref="L16:N20" si="7">B8*G16</f>
        <v>0</v>
      </c>
      <c r="M16" s="121">
        <f t="shared" si="7"/>
        <v>0</v>
      </c>
      <c r="N16" s="121">
        <f t="shared" si="7"/>
        <v>0</v>
      </c>
      <c r="O16" s="121">
        <f t="shared" ref="O16:O21" si="8">SUM(L16:N16)</f>
        <v>0</v>
      </c>
      <c r="R16" s="8" t="s">
        <v>134</v>
      </c>
      <c r="S16" s="136"/>
      <c r="T16" s="136"/>
      <c r="U16" s="8"/>
    </row>
    <row r="17" spans="1:21" x14ac:dyDescent="0.25">
      <c r="B17">
        <v>0.78</v>
      </c>
      <c r="C17">
        <v>52.96</v>
      </c>
      <c r="F17" s="8" t="s">
        <v>135</v>
      </c>
      <c r="G17" s="58">
        <f>Diskonttaus!$B$11*S17</f>
        <v>0</v>
      </c>
      <c r="H17" s="58">
        <f>Diskonttaus!$B$11*T17/60</f>
        <v>0</v>
      </c>
      <c r="I17" s="58">
        <f t="shared" ref="I17:I20" si="9">U17</f>
        <v>0</v>
      </c>
      <c r="K17" s="35" t="s">
        <v>135</v>
      </c>
      <c r="L17" s="105">
        <f t="shared" si="7"/>
        <v>0</v>
      </c>
      <c r="M17" s="122">
        <f t="shared" si="7"/>
        <v>0</v>
      </c>
      <c r="N17" s="122">
        <f t="shared" si="7"/>
        <v>0</v>
      </c>
      <c r="O17" s="122">
        <f t="shared" si="8"/>
        <v>0</v>
      </c>
      <c r="R17" s="8" t="s">
        <v>135</v>
      </c>
      <c r="S17" s="136"/>
      <c r="T17" s="136"/>
      <c r="U17" s="8"/>
    </row>
    <row r="18" spans="1:21" x14ac:dyDescent="0.25">
      <c r="B18">
        <v>2.2999999999999998</v>
      </c>
      <c r="C18">
        <v>83</v>
      </c>
      <c r="F18" s="8" t="s">
        <v>136</v>
      </c>
      <c r="G18" s="58">
        <f>Diskonttaus!$B$11*S18</f>
        <v>0</v>
      </c>
      <c r="H18" s="58">
        <f>Diskonttaus!$B$11*T18/60</f>
        <v>0</v>
      </c>
      <c r="I18" s="58">
        <f t="shared" si="9"/>
        <v>0</v>
      </c>
      <c r="K18" s="35" t="s">
        <v>136</v>
      </c>
      <c r="L18" s="105">
        <f t="shared" si="7"/>
        <v>0</v>
      </c>
      <c r="M18" s="122">
        <f t="shared" si="7"/>
        <v>0</v>
      </c>
      <c r="N18" s="122">
        <f t="shared" si="7"/>
        <v>0</v>
      </c>
      <c r="O18" s="122">
        <f t="shared" si="8"/>
        <v>0</v>
      </c>
      <c r="R18" s="8" t="s">
        <v>136</v>
      </c>
      <c r="S18" s="136"/>
      <c r="T18" s="136"/>
      <c r="U18" s="8"/>
    </row>
    <row r="19" spans="1:21" x14ac:dyDescent="0.25">
      <c r="B19">
        <v>0.46</v>
      </c>
      <c r="C19">
        <v>201.14</v>
      </c>
      <c r="D19">
        <v>704062.78855032311</v>
      </c>
      <c r="F19" s="8" t="s">
        <v>137</v>
      </c>
      <c r="G19" s="58">
        <f>Diskonttaus!$B$11*S19</f>
        <v>0</v>
      </c>
      <c r="H19" s="58">
        <f>Diskonttaus!$B$11*T19/60</f>
        <v>0</v>
      </c>
      <c r="I19" s="58">
        <f t="shared" si="9"/>
        <v>0</v>
      </c>
      <c r="K19" s="35" t="s">
        <v>137</v>
      </c>
      <c r="L19" s="105">
        <f t="shared" si="7"/>
        <v>0</v>
      </c>
      <c r="M19" s="122">
        <f t="shared" si="7"/>
        <v>0</v>
      </c>
      <c r="N19" s="122">
        <f t="shared" si="7"/>
        <v>0</v>
      </c>
      <c r="O19" s="122">
        <f t="shared" si="8"/>
        <v>0</v>
      </c>
      <c r="R19" s="8" t="s">
        <v>137</v>
      </c>
      <c r="S19" s="136"/>
      <c r="T19" s="136"/>
      <c r="U19" s="143"/>
    </row>
    <row r="20" spans="1:21" x14ac:dyDescent="0.25">
      <c r="B20">
        <f>2.8+2.8</f>
        <v>5.6</v>
      </c>
      <c r="C20">
        <f>340+244</f>
        <v>584</v>
      </c>
      <c r="F20" s="8" t="s">
        <v>138</v>
      </c>
      <c r="G20" s="58">
        <f>Diskonttaus!$B$11*S20</f>
        <v>0</v>
      </c>
      <c r="H20" s="58">
        <f>Diskonttaus!$B$11*T20/60</f>
        <v>0</v>
      </c>
      <c r="I20" s="58">
        <f t="shared" si="9"/>
        <v>0</v>
      </c>
      <c r="K20" s="35" t="s">
        <v>138</v>
      </c>
      <c r="L20" s="105">
        <f t="shared" si="7"/>
        <v>0</v>
      </c>
      <c r="M20" s="122">
        <f t="shared" si="7"/>
        <v>0</v>
      </c>
      <c r="N20" s="122">
        <f t="shared" si="7"/>
        <v>0</v>
      </c>
      <c r="O20" s="122">
        <f t="shared" si="8"/>
        <v>0</v>
      </c>
      <c r="R20" s="8" t="s">
        <v>138</v>
      </c>
      <c r="S20" s="136"/>
      <c r="T20" s="136"/>
      <c r="U20" s="143"/>
    </row>
    <row r="21" spans="1:21" ht="15" customHeight="1" thickBot="1" x14ac:dyDescent="0.3">
      <c r="K21" s="72" t="s">
        <v>54</v>
      </c>
      <c r="L21" s="105">
        <f>SUM(L16:L20)</f>
        <v>0</v>
      </c>
      <c r="M21" s="122">
        <f>SUM(M16:M20)</f>
        <v>0</v>
      </c>
      <c r="N21" s="122">
        <f>SUM(N16:N20)</f>
        <v>0</v>
      </c>
      <c r="O21" s="110">
        <f t="shared" si="8"/>
        <v>0</v>
      </c>
      <c r="T21" s="13"/>
    </row>
    <row r="22" spans="1:21" ht="15" customHeight="1" thickBot="1" x14ac:dyDescent="0.3">
      <c r="L22" s="91"/>
      <c r="M22" s="91"/>
      <c r="N22" s="91"/>
      <c r="O22" s="91"/>
      <c r="T22" s="13"/>
    </row>
    <row r="23" spans="1:21" ht="18.600000000000001" customHeight="1" thickBot="1" x14ac:dyDescent="0.35">
      <c r="A23" s="11"/>
      <c r="B23" s="17"/>
      <c r="K23" s="123" t="s">
        <v>90</v>
      </c>
      <c r="L23" s="91"/>
      <c r="M23" s="91"/>
      <c r="N23" s="91"/>
      <c r="O23" s="124">
        <f ca="1">IF(ISNUMBER(Diskonttaus!B20),Diskonttaus!B29*O13+Diskonttaus!B30*O21,Diskonttaus!B29*O13)*Diskonttaus!$B$10</f>
        <v>0</v>
      </c>
      <c r="T23" s="13"/>
    </row>
    <row r="24" spans="1:21" x14ac:dyDescent="0.25">
      <c r="T24" s="13"/>
    </row>
    <row r="25" spans="1:21" x14ac:dyDescent="0.25">
      <c r="T25" s="13"/>
    </row>
    <row r="26" spans="1:21" ht="12.75" customHeight="1" x14ac:dyDescent="0.25">
      <c r="T26" s="13"/>
    </row>
    <row r="27" spans="1:21" s="108" customFormat="1" x14ac:dyDescent="0.25"/>
    <row r="29" spans="1:21" ht="15" customHeight="1" thickBot="1" x14ac:dyDescent="0.3">
      <c r="B29" s="10" t="s">
        <v>97</v>
      </c>
    </row>
    <row r="30" spans="1:21" x14ac:dyDescent="0.25">
      <c r="A30" s="11" t="s">
        <v>141</v>
      </c>
      <c r="B30" s="76">
        <f>Diskonttaus!B4</f>
        <v>2045</v>
      </c>
      <c r="C30" s="74"/>
    </row>
    <row r="31" spans="1:21" x14ac:dyDescent="0.25">
      <c r="B31" s="35" t="s">
        <v>142</v>
      </c>
      <c r="C31" s="120"/>
    </row>
    <row r="32" spans="1:21" ht="15" customHeight="1" thickBot="1" x14ac:dyDescent="0.3">
      <c r="B32" s="56" t="s">
        <v>54</v>
      </c>
      <c r="C32" s="111">
        <f>SUM(C31:C31)</f>
        <v>0</v>
      </c>
    </row>
    <row r="33" spans="1:11" ht="15" customHeight="1" thickBot="1" x14ac:dyDescent="0.3"/>
    <row r="34" spans="1:11" x14ac:dyDescent="0.25">
      <c r="B34" s="76">
        <f>Diskonttaus!B6</f>
        <v>2060</v>
      </c>
      <c r="C34" s="74"/>
    </row>
    <row r="35" spans="1:11" x14ac:dyDescent="0.25">
      <c r="B35" s="35" t="s">
        <v>142</v>
      </c>
      <c r="C35" s="65"/>
    </row>
    <row r="36" spans="1:11" ht="15" customHeight="1" thickBot="1" x14ac:dyDescent="0.3">
      <c r="B36" s="56" t="s">
        <v>54</v>
      </c>
      <c r="C36" s="117">
        <f>SUM(C35:C35)</f>
        <v>0</v>
      </c>
    </row>
    <row r="37" spans="1:11" ht="15" customHeight="1" thickBot="1" x14ac:dyDescent="0.3"/>
    <row r="38" spans="1:11" ht="18.600000000000001" customHeight="1" thickBot="1" x14ac:dyDescent="0.35">
      <c r="B38" s="125" t="s">
        <v>90</v>
      </c>
      <c r="C38" s="124">
        <f ca="1">Diskonttaus!B19*C32*Diskonttaus!$B$10</f>
        <v>0</v>
      </c>
    </row>
    <row r="40" spans="1:11" ht="15" customHeight="1" thickBot="1" x14ac:dyDescent="0.3">
      <c r="A40" s="11" t="s">
        <v>143</v>
      </c>
      <c r="B40" s="17"/>
      <c r="H40" t="s">
        <v>144</v>
      </c>
      <c r="I40">
        <v>1.6859999999999999</v>
      </c>
      <c r="J40">
        <v>8.9380000000000006</v>
      </c>
      <c r="K40">
        <v>2.4489999999999998</v>
      </c>
    </row>
    <row r="41" spans="1:11" ht="15" customHeight="1" thickBot="1" x14ac:dyDescent="0.3">
      <c r="B41" s="61" t="s">
        <v>106</v>
      </c>
      <c r="C41" s="50" t="s">
        <v>145</v>
      </c>
      <c r="D41" s="50" t="s">
        <v>108</v>
      </c>
      <c r="E41" s="50" t="s">
        <v>110</v>
      </c>
      <c r="F41" s="20" t="s">
        <v>111</v>
      </c>
      <c r="H41" t="s">
        <v>146</v>
      </c>
      <c r="I41">
        <v>2.2168000000000001</v>
      </c>
      <c r="J41">
        <v>9.8668999999999993</v>
      </c>
      <c r="K41">
        <v>2.5449999999999999</v>
      </c>
    </row>
    <row r="42" spans="1:11" x14ac:dyDescent="0.25">
      <c r="A42" s="12">
        <f>Diskonttaus!B4</f>
        <v>2045</v>
      </c>
      <c r="B42" s="259">
        <v>0.57410000000000005</v>
      </c>
      <c r="C42" s="260">
        <v>0.1087</v>
      </c>
      <c r="D42" s="260">
        <v>0.40500000000000003</v>
      </c>
      <c r="E42" s="47"/>
      <c r="F42" s="48"/>
      <c r="H42" t="s">
        <v>147</v>
      </c>
      <c r="I42">
        <v>1.742</v>
      </c>
      <c r="J42">
        <v>9.2029999999999994</v>
      </c>
      <c r="K42">
        <v>2.4693999999999998</v>
      </c>
    </row>
    <row r="43" spans="1:11" ht="15" customHeight="1" thickBot="1" x14ac:dyDescent="0.3">
      <c r="A43" t="s">
        <v>148</v>
      </c>
      <c r="B43" s="148"/>
      <c r="C43" s="149"/>
      <c r="D43" s="149"/>
      <c r="E43" s="137">
        <f>B43/B42+C43/C42+D43/D42</f>
        <v>0</v>
      </c>
      <c r="F43" s="112">
        <f>E43*Diskonttaus!$B$11</f>
        <v>0</v>
      </c>
      <c r="I43" s="258">
        <f>1/I42</f>
        <v>0.57405281285878296</v>
      </c>
      <c r="J43" s="258">
        <f>1/J42</f>
        <v>0.10866021949364338</v>
      </c>
      <c r="K43" s="258">
        <f>1/K42</f>
        <v>0.40495666963634896</v>
      </c>
    </row>
    <row r="44" spans="1:11" ht="15" customHeight="1" thickBot="1" x14ac:dyDescent="0.3">
      <c r="B44" s="61" t="s">
        <v>106</v>
      </c>
      <c r="C44" s="50" t="s">
        <v>145</v>
      </c>
      <c r="D44" s="50" t="s">
        <v>108</v>
      </c>
      <c r="E44" s="50" t="s">
        <v>110</v>
      </c>
      <c r="F44" s="20" t="s">
        <v>111</v>
      </c>
    </row>
    <row r="45" spans="1:11" x14ac:dyDescent="0.25">
      <c r="A45" s="12">
        <f>Diskonttaus!B6</f>
        <v>2060</v>
      </c>
      <c r="B45" s="259">
        <v>0.57410000000000005</v>
      </c>
      <c r="C45" s="260">
        <v>0.1087</v>
      </c>
      <c r="D45" s="260">
        <v>0.40500000000000003</v>
      </c>
      <c r="E45" s="47"/>
      <c r="F45" s="48"/>
    </row>
    <row r="46" spans="1:11" ht="15" customHeight="1" thickBot="1" x14ac:dyDescent="0.3">
      <c r="A46" t="s">
        <v>148</v>
      </c>
      <c r="B46" s="148"/>
      <c r="C46" s="149"/>
      <c r="D46" s="149"/>
      <c r="E46" s="137">
        <f>B46/B45+C46/C45+D46/D45</f>
        <v>0</v>
      </c>
      <c r="F46" s="112">
        <f>E46*Diskonttaus!$B$11</f>
        <v>0</v>
      </c>
    </row>
    <row r="47" spans="1:11" ht="15" customHeight="1" thickBot="1" x14ac:dyDescent="0.3"/>
    <row r="48" spans="1:11" ht="18.600000000000001" customHeight="1" thickBot="1" x14ac:dyDescent="0.35">
      <c r="A48" s="126" t="s">
        <v>90</v>
      </c>
      <c r="F48" s="124">
        <f ca="1">IF(ISNUMBER(Diskonttaus!B20),Diskonttaus!B26*F43+Diskonttaus!B27*F46,Diskonttaus!B26*F43)*Diskonttaus!$B$10</f>
        <v>0</v>
      </c>
    </row>
    <row r="50" spans="1:12" s="108" customFormat="1" x14ac:dyDescent="0.25"/>
    <row r="52" spans="1:12" x14ac:dyDescent="0.25">
      <c r="A52" s="11" t="s">
        <v>149</v>
      </c>
    </row>
    <row r="53" spans="1:12" ht="15" customHeight="1" thickBot="1" x14ac:dyDescent="0.3">
      <c r="K53" s="10" t="s">
        <v>124</v>
      </c>
    </row>
    <row r="54" spans="1:12" ht="15" customHeight="1" thickBot="1" x14ac:dyDescent="0.3">
      <c r="A54" s="8" t="s">
        <v>150</v>
      </c>
      <c r="B54" s="8" t="s">
        <v>151</v>
      </c>
      <c r="F54" s="8">
        <f>Diskonttaus!B4</f>
        <v>2045</v>
      </c>
      <c r="G54" s="8" t="s">
        <v>152</v>
      </c>
      <c r="K54" s="86" t="s">
        <v>150</v>
      </c>
      <c r="L54" s="71" t="s">
        <v>132</v>
      </c>
    </row>
    <row r="55" spans="1:12" x14ac:dyDescent="0.25">
      <c r="A55" s="8" t="s">
        <v>153</v>
      </c>
      <c r="B55" s="245">
        <v>3.6574999999999997E-3</v>
      </c>
      <c r="F55" s="8" t="s">
        <v>153</v>
      </c>
      <c r="G55" s="122">
        <f>Diskonttaus!$B$11*(Ulkoisvaikutukset!O19+Ulkoisvaikutukset!O20)</f>
        <v>0</v>
      </c>
      <c r="K55" s="21" t="s">
        <v>153</v>
      </c>
      <c r="L55" s="80">
        <f>B55*G55</f>
        <v>0</v>
      </c>
    </row>
    <row r="56" spans="1:12" x14ac:dyDescent="0.25">
      <c r="A56" s="8" t="s">
        <v>154</v>
      </c>
      <c r="B56" s="245">
        <v>5.1205000000000001E-2</v>
      </c>
      <c r="F56" s="8" t="s">
        <v>154</v>
      </c>
      <c r="G56" s="122">
        <f>Diskonttaus!$B$11*(Ulkoisvaikutukset!O15+Ulkoisvaikutukset!O21+Ulkoisvaikutukset!O22)</f>
        <v>0</v>
      </c>
      <c r="K56" s="35" t="s">
        <v>154</v>
      </c>
      <c r="L56" s="105">
        <f>B56*G56</f>
        <v>0</v>
      </c>
    </row>
    <row r="57" spans="1:12" x14ac:dyDescent="0.25">
      <c r="A57" s="8" t="s">
        <v>136</v>
      </c>
      <c r="B57" s="243">
        <v>9.0073983999999996E-2</v>
      </c>
      <c r="F57" s="8" t="s">
        <v>136</v>
      </c>
      <c r="G57" s="122">
        <f>Tuottajahyodyt!G10</f>
        <v>0</v>
      </c>
      <c r="K57" s="35" t="s">
        <v>136</v>
      </c>
      <c r="L57" s="120">
        <f>B57*G57</f>
        <v>0</v>
      </c>
    </row>
    <row r="58" spans="1:12" ht="15" customHeight="1" x14ac:dyDescent="0.25">
      <c r="A58" s="8" t="s">
        <v>137</v>
      </c>
      <c r="B58" s="243">
        <v>0.28148119999999999</v>
      </c>
      <c r="F58" s="8" t="s">
        <v>137</v>
      </c>
      <c r="G58" s="122">
        <f>G11</f>
        <v>0</v>
      </c>
      <c r="K58" s="35" t="s">
        <v>137</v>
      </c>
      <c r="L58" s="120">
        <f>B58*G58</f>
        <v>0</v>
      </c>
    </row>
    <row r="59" spans="1:12" ht="15" customHeight="1" thickBot="1" x14ac:dyDescent="0.3">
      <c r="A59" s="8" t="s">
        <v>138</v>
      </c>
      <c r="B59" s="243">
        <v>0.57162336000000002</v>
      </c>
      <c r="F59" s="8" t="s">
        <v>138</v>
      </c>
      <c r="G59" s="122">
        <f>G12</f>
        <v>0</v>
      </c>
      <c r="K59" s="56" t="s">
        <v>138</v>
      </c>
      <c r="L59" s="102">
        <f>B59*G59</f>
        <v>0</v>
      </c>
    </row>
    <row r="60" spans="1:12" ht="15" customHeight="1" thickBot="1" x14ac:dyDescent="0.3">
      <c r="K60" s="31" t="s">
        <v>54</v>
      </c>
      <c r="L60" s="113">
        <f>SUM(L55:L59)</f>
        <v>0</v>
      </c>
    </row>
    <row r="61" spans="1:12" ht="15" customHeight="1" thickBot="1" x14ac:dyDescent="0.3">
      <c r="A61" t="s">
        <v>155</v>
      </c>
      <c r="B61">
        <v>1.0449999999999999</v>
      </c>
    </row>
    <row r="62" spans="1:12" ht="15.75" thickBot="1" x14ac:dyDescent="0.3">
      <c r="F62" s="8">
        <f>Diskonttaus!B6</f>
        <v>2060</v>
      </c>
      <c r="G62" s="8" t="s">
        <v>152</v>
      </c>
      <c r="K62" s="86" t="s">
        <v>150</v>
      </c>
      <c r="L62" s="71" t="s">
        <v>132</v>
      </c>
    </row>
    <row r="63" spans="1:12" x14ac:dyDescent="0.25">
      <c r="F63" s="8" t="s">
        <v>153</v>
      </c>
      <c r="G63" s="122">
        <f>Diskonttaus!$B$11*(Ulkoisvaikutukset!O33+Ulkoisvaikutukset!O34)</f>
        <v>0</v>
      </c>
      <c r="K63" s="21" t="s">
        <v>153</v>
      </c>
      <c r="L63" s="80">
        <f>B55*G63</f>
        <v>0</v>
      </c>
    </row>
    <row r="64" spans="1:12" x14ac:dyDescent="0.25">
      <c r="F64" s="8" t="s">
        <v>154</v>
      </c>
      <c r="G64" s="122">
        <f>Diskonttaus!$B$11*(Ulkoisvaikutukset!O29+Ulkoisvaikutukset!O35+Ulkoisvaikutukset!O36)</f>
        <v>0</v>
      </c>
      <c r="K64" s="90" t="s">
        <v>154</v>
      </c>
      <c r="L64" s="80">
        <f>B56*G64</f>
        <v>0</v>
      </c>
    </row>
    <row r="65" spans="1:12" ht="15" customHeight="1" x14ac:dyDescent="0.25">
      <c r="F65" s="8" t="s">
        <v>136</v>
      </c>
      <c r="G65" s="122">
        <f>Tuottajahyodyt!G18</f>
        <v>0</v>
      </c>
      <c r="K65" s="35" t="s">
        <v>136</v>
      </c>
      <c r="L65" s="120">
        <f>B57*G65</f>
        <v>0</v>
      </c>
    </row>
    <row r="66" spans="1:12" ht="15" customHeight="1" x14ac:dyDescent="0.25">
      <c r="F66" s="8" t="s">
        <v>137</v>
      </c>
      <c r="G66" s="122">
        <f>G19</f>
        <v>0</v>
      </c>
      <c r="K66" s="35" t="s">
        <v>137</v>
      </c>
      <c r="L66" s="120">
        <f>B58*G66</f>
        <v>0</v>
      </c>
    </row>
    <row r="67" spans="1:12" ht="15" customHeight="1" thickBot="1" x14ac:dyDescent="0.3">
      <c r="F67" s="8" t="s">
        <v>138</v>
      </c>
      <c r="G67" s="122">
        <f>G20</f>
        <v>0</v>
      </c>
      <c r="K67" s="56" t="s">
        <v>138</v>
      </c>
      <c r="L67" s="102">
        <f>B59*G67</f>
        <v>0</v>
      </c>
    </row>
    <row r="68" spans="1:12" ht="18.600000000000001" customHeight="1" thickBot="1" x14ac:dyDescent="0.3">
      <c r="K68" s="31" t="s">
        <v>54</v>
      </c>
      <c r="L68" s="113">
        <f>SUM(L63:L67)</f>
        <v>0</v>
      </c>
    </row>
    <row r="69" spans="1:12" ht="15" customHeight="1" thickBot="1" x14ac:dyDescent="0.3"/>
    <row r="70" spans="1:12" ht="15" customHeight="1" thickBot="1" x14ac:dyDescent="0.35">
      <c r="K70" s="126" t="s">
        <v>90</v>
      </c>
      <c r="L70" s="124">
        <f ca="1">IF(ISNUMBER(Diskonttaus!B20),Diskonttaus!B26*L60+Diskonttaus!B27*L68,Diskonttaus!B26*L60)*Diskonttaus!$B$10</f>
        <v>0</v>
      </c>
    </row>
    <row r="71" spans="1:12" ht="15.75" thickBot="1" x14ac:dyDescent="0.3"/>
    <row r="72" spans="1:12" ht="15" customHeight="1" thickBot="1" x14ac:dyDescent="0.3">
      <c r="A72" s="8" t="s">
        <v>156</v>
      </c>
      <c r="B72" s="8" t="s">
        <v>157</v>
      </c>
      <c r="F72" s="8">
        <f>Diskonttaus!B4</f>
        <v>2045</v>
      </c>
      <c r="G72" s="8" t="s">
        <v>158</v>
      </c>
      <c r="K72" s="66" t="s">
        <v>159</v>
      </c>
      <c r="L72" s="86" t="s">
        <v>132</v>
      </c>
    </row>
    <row r="73" spans="1:12" ht="15" customHeight="1" x14ac:dyDescent="0.25">
      <c r="A73" s="8" t="s">
        <v>160</v>
      </c>
      <c r="B73" s="246">
        <v>26960.999999999996</v>
      </c>
      <c r="F73" s="8" t="s">
        <v>160</v>
      </c>
      <c r="G73" s="136"/>
      <c r="K73" s="51" t="s">
        <v>160</v>
      </c>
      <c r="L73" s="205">
        <f t="shared" ref="L73:L78" si="10">B73*G73</f>
        <v>0</v>
      </c>
    </row>
    <row r="74" spans="1:12" x14ac:dyDescent="0.25">
      <c r="A74" s="8" t="s">
        <v>161</v>
      </c>
      <c r="B74" s="246">
        <v>23408</v>
      </c>
      <c r="F74" s="8" t="s">
        <v>161</v>
      </c>
      <c r="G74" s="136"/>
      <c r="K74" s="38" t="s">
        <v>161</v>
      </c>
      <c r="L74" s="183">
        <f t="shared" si="10"/>
        <v>0</v>
      </c>
    </row>
    <row r="75" spans="1:12" x14ac:dyDescent="0.25">
      <c r="A75" s="8" t="s">
        <v>162</v>
      </c>
      <c r="B75" s="246">
        <v>11704</v>
      </c>
      <c r="F75" s="8" t="s">
        <v>162</v>
      </c>
      <c r="G75" s="136"/>
      <c r="K75" s="38" t="s">
        <v>162</v>
      </c>
      <c r="L75" s="183">
        <f t="shared" si="10"/>
        <v>0</v>
      </c>
    </row>
    <row r="76" spans="1:12" ht="15" customHeight="1" x14ac:dyDescent="0.25">
      <c r="A76" s="8" t="s">
        <v>163</v>
      </c>
      <c r="B76" s="246">
        <v>30304.999999999996</v>
      </c>
      <c r="F76" s="8" t="s">
        <v>163</v>
      </c>
      <c r="G76" s="136"/>
      <c r="K76" s="38" t="s">
        <v>163</v>
      </c>
      <c r="L76" s="183">
        <f t="shared" si="10"/>
        <v>0</v>
      </c>
    </row>
    <row r="77" spans="1:12" x14ac:dyDescent="0.25">
      <c r="A77" s="8" t="s">
        <v>164</v>
      </c>
      <c r="B77" s="246">
        <v>30304.999999999996</v>
      </c>
      <c r="F77" s="8" t="s">
        <v>164</v>
      </c>
      <c r="G77" s="136"/>
      <c r="K77" s="38" t="s">
        <v>164</v>
      </c>
      <c r="L77" s="206">
        <f t="shared" si="10"/>
        <v>0</v>
      </c>
    </row>
    <row r="78" spans="1:12" ht="15" customHeight="1" thickBot="1" x14ac:dyDescent="0.3">
      <c r="A78" s="8" t="s">
        <v>165</v>
      </c>
      <c r="B78" s="246">
        <v>30304.999999999996</v>
      </c>
      <c r="F78" s="8" t="s">
        <v>165</v>
      </c>
      <c r="G78" s="136"/>
      <c r="K78" s="52" t="s">
        <v>165</v>
      </c>
      <c r="L78" s="207">
        <f t="shared" si="10"/>
        <v>0</v>
      </c>
    </row>
    <row r="79" spans="1:12" ht="15.75" thickBot="1" x14ac:dyDescent="0.3">
      <c r="K79" s="31" t="s">
        <v>54</v>
      </c>
      <c r="L79" s="113">
        <f>SUM(L73:L78)</f>
        <v>0</v>
      </c>
    </row>
    <row r="80" spans="1:12" ht="15.75" thickBot="1" x14ac:dyDescent="0.3">
      <c r="A80" t="s">
        <v>155</v>
      </c>
      <c r="B80">
        <v>1.0449999999999999</v>
      </c>
    </row>
    <row r="81" spans="2:12" ht="15.75" thickBot="1" x14ac:dyDescent="0.3">
      <c r="B81" s="91"/>
      <c r="C81" s="91"/>
      <c r="F81" s="8">
        <f>Diskonttaus!B6</f>
        <v>2060</v>
      </c>
      <c r="G81" s="8" t="s">
        <v>158</v>
      </c>
      <c r="K81" s="66" t="s">
        <v>159</v>
      </c>
      <c r="L81" s="86" t="s">
        <v>132</v>
      </c>
    </row>
    <row r="82" spans="2:12" x14ac:dyDescent="0.25">
      <c r="B82" s="91"/>
      <c r="C82" s="91"/>
      <c r="F82" s="8" t="s">
        <v>160</v>
      </c>
      <c r="G82" s="136"/>
      <c r="K82" s="51" t="s">
        <v>160</v>
      </c>
      <c r="L82" s="205">
        <f>B73*G82</f>
        <v>0</v>
      </c>
    </row>
    <row r="83" spans="2:12" x14ac:dyDescent="0.25">
      <c r="B83" s="1"/>
      <c r="C83" s="1"/>
      <c r="F83" s="8" t="s">
        <v>161</v>
      </c>
      <c r="G83" s="136"/>
      <c r="K83" s="38" t="s">
        <v>161</v>
      </c>
      <c r="L83" s="183">
        <f>B74*G83</f>
        <v>0</v>
      </c>
    </row>
    <row r="84" spans="2:12" x14ac:dyDescent="0.25">
      <c r="F84" s="8" t="s">
        <v>162</v>
      </c>
      <c r="G84" s="136"/>
      <c r="K84" s="38" t="s">
        <v>162</v>
      </c>
      <c r="L84" s="183">
        <f t="shared" ref="L84:L86" si="11">B75*G84</f>
        <v>0</v>
      </c>
    </row>
    <row r="85" spans="2:12" x14ac:dyDescent="0.25">
      <c r="F85" s="8" t="s">
        <v>163</v>
      </c>
      <c r="G85" s="136"/>
      <c r="K85" s="38" t="s">
        <v>163</v>
      </c>
      <c r="L85" s="183">
        <f t="shared" si="11"/>
        <v>0</v>
      </c>
    </row>
    <row r="86" spans="2:12" x14ac:dyDescent="0.25">
      <c r="F86" s="8" t="s">
        <v>164</v>
      </c>
      <c r="G86" s="136"/>
      <c r="K86" s="38" t="s">
        <v>164</v>
      </c>
      <c r="L86" s="183">
        <f t="shared" si="11"/>
        <v>0</v>
      </c>
    </row>
    <row r="87" spans="2:12" ht="15.75" thickBot="1" x14ac:dyDescent="0.3">
      <c r="F87" s="8" t="s">
        <v>165</v>
      </c>
      <c r="G87" s="136"/>
      <c r="K87" s="52" t="s">
        <v>165</v>
      </c>
      <c r="L87" s="207">
        <f>B78*G87</f>
        <v>0</v>
      </c>
    </row>
    <row r="88" spans="2:12" ht="15.75" thickBot="1" x14ac:dyDescent="0.3">
      <c r="B88" s="1"/>
      <c r="K88" s="31" t="s">
        <v>54</v>
      </c>
      <c r="L88" s="113">
        <f>SUM(L82:L87)</f>
        <v>0</v>
      </c>
    </row>
    <row r="89" spans="2:12" ht="15.75" thickBot="1" x14ac:dyDescent="0.3"/>
    <row r="90" spans="2:12" ht="19.5" thickBot="1" x14ac:dyDescent="0.35">
      <c r="B90" s="1"/>
      <c r="K90" s="126" t="s">
        <v>90</v>
      </c>
      <c r="L90" s="124">
        <f ca="1">IF(ISNUMBER(Diskonttaus!B20),Diskonttaus!B26*L79+Diskonttaus!B27*L88,Diskonttaus!B26*L79)*Diskonttaus!$B$10</f>
        <v>0</v>
      </c>
    </row>
    <row r="91" spans="2:12" x14ac:dyDescent="0.25">
      <c r="B91" s="1"/>
    </row>
    <row r="92" spans="2:12" x14ac:dyDescent="0.25">
      <c r="B92" s="1"/>
    </row>
    <row r="93" spans="2:12" x14ac:dyDescent="0.25">
      <c r="B93" s="1"/>
    </row>
    <row r="94" spans="2:12" x14ac:dyDescent="0.25">
      <c r="B94" s="1"/>
    </row>
    <row r="95" spans="2:12" x14ac:dyDescent="0.25">
      <c r="B95" s="1"/>
    </row>
    <row r="96" spans="2:12" x14ac:dyDescent="0.25">
      <c r="B96" s="1"/>
    </row>
    <row r="97" spans="2:4" x14ac:dyDescent="0.25">
      <c r="B97" s="1"/>
    </row>
    <row r="98" spans="2:4" x14ac:dyDescent="0.25">
      <c r="B98" s="1"/>
    </row>
    <row r="99" spans="2:4" x14ac:dyDescent="0.25">
      <c r="B99" s="1"/>
    </row>
    <row r="100" spans="2:4" x14ac:dyDescent="0.25">
      <c r="B100" s="1"/>
    </row>
    <row r="105" spans="2:4" x14ac:dyDescent="0.25">
      <c r="D105" s="19"/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ul3"/>
  <dimension ref="B2:R141"/>
  <sheetViews>
    <sheetView tabSelected="1" zoomScaleNormal="100" workbookViewId="0">
      <selection activeCell="H141" sqref="H141"/>
    </sheetView>
  </sheetViews>
  <sheetFormatPr defaultRowHeight="15" x14ac:dyDescent="0.25"/>
  <cols>
    <col min="2" max="2" width="19.5703125" bestFit="1" customWidth="1"/>
    <col min="3" max="3" width="18.5703125" bestFit="1" customWidth="1"/>
    <col min="4" max="4" width="12.42578125" bestFit="1" customWidth="1"/>
    <col min="5" max="5" width="14.85546875" customWidth="1"/>
    <col min="6" max="6" width="15" bestFit="1" customWidth="1"/>
    <col min="7" max="7" width="19.140625" bestFit="1" customWidth="1"/>
    <col min="8" max="8" width="23.85546875" bestFit="1" customWidth="1"/>
    <col min="9" max="9" width="19.140625" bestFit="1" customWidth="1"/>
    <col min="10" max="10" width="36.85546875" bestFit="1" customWidth="1"/>
    <col min="11" max="11" width="46.42578125" bestFit="1" customWidth="1"/>
    <col min="12" max="12" width="23.140625" bestFit="1" customWidth="1"/>
    <col min="13" max="13" width="29.7109375" bestFit="1" customWidth="1"/>
    <col min="14" max="14" width="55.140625" bestFit="1" customWidth="1"/>
    <col min="15" max="15" width="10.140625" bestFit="1" customWidth="1"/>
    <col min="16" max="16" width="18" bestFit="1" customWidth="1"/>
    <col min="17" max="17" width="34.140625" bestFit="1" customWidth="1"/>
    <col min="18" max="18" width="7.140625" bestFit="1" customWidth="1"/>
  </cols>
  <sheetData>
    <row r="2" spans="2:18" ht="15" customHeight="1" thickBot="1" x14ac:dyDescent="0.3">
      <c r="B2" s="10" t="s">
        <v>261</v>
      </c>
      <c r="C2" s="11">
        <f>Diskonttaus!B4</f>
        <v>2045</v>
      </c>
      <c r="E2" s="11">
        <f>Diskonttaus!B6</f>
        <v>2060</v>
      </c>
      <c r="I2" s="10" t="s">
        <v>167</v>
      </c>
      <c r="N2" t="s">
        <v>168</v>
      </c>
    </row>
    <row r="3" spans="2:18" ht="15" customHeight="1" thickBot="1" x14ac:dyDescent="0.3">
      <c r="B3" s="31" t="s">
        <v>169</v>
      </c>
      <c r="C3" s="32" t="s">
        <v>170</v>
      </c>
      <c r="D3" s="173" t="s">
        <v>171</v>
      </c>
      <c r="E3" s="66" t="s">
        <v>170</v>
      </c>
      <c r="F3" s="50" t="s">
        <v>171</v>
      </c>
      <c r="H3" s="86" t="s">
        <v>169</v>
      </c>
      <c r="I3" s="32" t="s">
        <v>172</v>
      </c>
      <c r="J3" s="50" t="s">
        <v>173</v>
      </c>
      <c r="K3" s="50" t="s">
        <v>174</v>
      </c>
      <c r="L3" s="50" t="s">
        <v>175</v>
      </c>
      <c r="M3" s="50" t="s">
        <v>176</v>
      </c>
      <c r="N3" s="20" t="s">
        <v>177</v>
      </c>
      <c r="Q3" s="8" t="s">
        <v>260</v>
      </c>
      <c r="R3" s="8"/>
    </row>
    <row r="4" spans="2:18" x14ac:dyDescent="0.25">
      <c r="B4" s="55" t="s">
        <v>134</v>
      </c>
      <c r="C4" s="284">
        <f>L68</f>
        <v>0.13766454281398652</v>
      </c>
      <c r="D4" s="316">
        <f>M68</f>
        <v>8.3111646854875612E-2</v>
      </c>
      <c r="E4" s="319">
        <f>L117</f>
        <v>0.17309529373389165</v>
      </c>
      <c r="F4" s="285">
        <f>M117</f>
        <v>0.10477090972652346</v>
      </c>
      <c r="H4" s="55"/>
      <c r="I4" s="271">
        <v>2.4E-2</v>
      </c>
      <c r="J4" s="271">
        <v>7.1999999999999995E-2</v>
      </c>
      <c r="K4" s="271">
        <v>0.13100000000000001</v>
      </c>
      <c r="L4" s="271">
        <v>0.26</v>
      </c>
      <c r="M4" s="271">
        <v>0.376</v>
      </c>
      <c r="N4" s="271">
        <v>0</v>
      </c>
      <c r="P4" s="18"/>
      <c r="Q4" s="8">
        <f>Diskonttaus!B1</f>
        <v>2023</v>
      </c>
      <c r="R4" s="273">
        <v>0.98399999999999999</v>
      </c>
    </row>
    <row r="5" spans="2:18" x14ac:dyDescent="0.25">
      <c r="B5" s="35" t="s">
        <v>136</v>
      </c>
      <c r="C5" s="289">
        <v>0</v>
      </c>
      <c r="D5" s="93">
        <v>0</v>
      </c>
      <c r="E5" s="320">
        <v>0</v>
      </c>
      <c r="F5" s="324">
        <v>0</v>
      </c>
      <c r="H5" s="35" t="s">
        <v>178</v>
      </c>
      <c r="I5" s="247">
        <v>519357.75</v>
      </c>
      <c r="J5" s="8"/>
      <c r="K5" s="8"/>
      <c r="L5" s="8"/>
      <c r="M5" s="8"/>
      <c r="N5" s="44"/>
      <c r="Q5" s="8">
        <f>Diskonttaus!B4</f>
        <v>2045</v>
      </c>
      <c r="R5" s="273">
        <f>(1-0.016)^(MIN(Diskonttaus!B$4,2050)-Diskonttaus!B$1)</f>
        <v>0.70128114999789493</v>
      </c>
    </row>
    <row r="6" spans="2:18" ht="15" customHeight="1" thickBot="1" x14ac:dyDescent="0.3">
      <c r="B6" s="35" t="s">
        <v>137</v>
      </c>
      <c r="C6" s="289">
        <v>0</v>
      </c>
      <c r="D6" s="93">
        <v>0</v>
      </c>
      <c r="E6" s="321">
        <v>0</v>
      </c>
      <c r="F6" s="324">
        <v>0</v>
      </c>
      <c r="H6" s="56" t="s">
        <v>41</v>
      </c>
      <c r="I6" s="142">
        <f t="shared" ref="I6:N6" si="0">$I$5*I4/1000000</f>
        <v>1.2464586000000001E-2</v>
      </c>
      <c r="J6" s="140">
        <f t="shared" si="0"/>
        <v>3.7393757999999992E-2</v>
      </c>
      <c r="K6" s="140">
        <f t="shared" si="0"/>
        <v>6.8035865250000008E-2</v>
      </c>
      <c r="L6" s="140">
        <f t="shared" si="0"/>
        <v>0.13503301500000001</v>
      </c>
      <c r="M6" s="140">
        <f t="shared" si="0"/>
        <v>0.19527851399999999</v>
      </c>
      <c r="N6" s="141">
        <f t="shared" si="0"/>
        <v>0</v>
      </c>
      <c r="Q6" s="8">
        <f>Diskonttaus!B6</f>
        <v>2060</v>
      </c>
      <c r="R6" s="273">
        <f>(1-0.016)^(MIN(Diskonttaus!B$6,2050)-Diskonttaus!B$1)</f>
        <v>0.64694544232661477</v>
      </c>
    </row>
    <row r="7" spans="2:18" x14ac:dyDescent="0.25">
      <c r="B7" s="35" t="s">
        <v>138</v>
      </c>
      <c r="C7" s="289">
        <v>0</v>
      </c>
      <c r="D7" s="93">
        <v>0</v>
      </c>
      <c r="E7" s="321">
        <v>0</v>
      </c>
      <c r="F7" s="324">
        <v>0</v>
      </c>
    </row>
    <row r="8" spans="2:18" ht="15.75" thickBot="1" x14ac:dyDescent="0.3">
      <c r="B8" s="35" t="s">
        <v>98</v>
      </c>
      <c r="C8" s="286">
        <f>L52</f>
        <v>1.357470225242384E-2</v>
      </c>
      <c r="D8" s="317">
        <f>M52</f>
        <v>8.8311590623130487E-3</v>
      </c>
      <c r="E8" s="322">
        <f>L101</f>
        <v>4.4079115078175333E-3</v>
      </c>
      <c r="F8" s="139">
        <f>M101</f>
        <v>1.309982723170071E-3</v>
      </c>
      <c r="H8" t="s">
        <v>180</v>
      </c>
    </row>
    <row r="9" spans="2:18" x14ac:dyDescent="0.25">
      <c r="B9" s="35" t="s">
        <v>87</v>
      </c>
      <c r="C9" s="286">
        <f>L60</f>
        <v>2.0427574692110151E-2</v>
      </c>
      <c r="D9" s="317">
        <f>M60</f>
        <v>1.0108573276555266E-2</v>
      </c>
      <c r="E9" s="322">
        <f>L109</f>
        <v>1.412723786645239E-2</v>
      </c>
      <c r="F9" s="139">
        <f>M109</f>
        <v>1.9386215270586304E-3</v>
      </c>
      <c r="H9" s="21">
        <f>Diskonttaus!B4</f>
        <v>2045</v>
      </c>
      <c r="I9" s="21">
        <f>H92</f>
        <v>0</v>
      </c>
    </row>
    <row r="10" spans="2:18" ht="15.75" thickBot="1" x14ac:dyDescent="0.3">
      <c r="B10" s="35" t="s">
        <v>73</v>
      </c>
      <c r="C10" s="286">
        <f>L76</f>
        <v>0.28495027054630873</v>
      </c>
      <c r="D10" s="317">
        <f>M76</f>
        <v>0.23313212647967693</v>
      </c>
      <c r="E10" s="322">
        <f>L125</f>
        <v>0.22792419485360524</v>
      </c>
      <c r="F10" s="139">
        <f>M125</f>
        <v>0.18078028432468285</v>
      </c>
      <c r="H10" s="33">
        <f>Diskonttaus!B6</f>
        <v>2060</v>
      </c>
      <c r="I10" s="33">
        <f>H141</f>
        <v>0</v>
      </c>
    </row>
    <row r="11" spans="2:18" ht="15" customHeight="1" thickBot="1" x14ac:dyDescent="0.3">
      <c r="B11" s="56" t="s">
        <v>74</v>
      </c>
      <c r="C11" s="287">
        <f>L84</f>
        <v>0.43763444248557837</v>
      </c>
      <c r="D11" s="318">
        <f>M84</f>
        <v>0.3651625809884812</v>
      </c>
      <c r="E11" s="323">
        <f>L133</f>
        <v>0.42499481919506671</v>
      </c>
      <c r="F11" s="288">
        <f>M133</f>
        <v>0.35119299817485322</v>
      </c>
    </row>
    <row r="13" spans="2:18" ht="15" customHeight="1" thickBot="1" x14ac:dyDescent="0.3">
      <c r="B13" s="11">
        <f>Diskonttaus!B4</f>
        <v>2045</v>
      </c>
      <c r="H13" s="11">
        <f>Diskonttaus!B4</f>
        <v>2045</v>
      </c>
    </row>
    <row r="14" spans="2:18" ht="15" customHeight="1" thickBot="1" x14ac:dyDescent="0.3">
      <c r="B14" s="49" t="s">
        <v>181</v>
      </c>
      <c r="C14" s="53" t="s">
        <v>182</v>
      </c>
      <c r="D14" s="49" t="s">
        <v>166</v>
      </c>
      <c r="E14" s="85" t="s">
        <v>179</v>
      </c>
      <c r="F14" s="86" t="s">
        <v>97</v>
      </c>
      <c r="H14" s="31" t="s">
        <v>183</v>
      </c>
      <c r="I14" s="32" t="s">
        <v>184</v>
      </c>
      <c r="J14" s="50" t="s">
        <v>185</v>
      </c>
      <c r="K14" s="50" t="s">
        <v>186</v>
      </c>
      <c r="L14" s="50" t="s">
        <v>187</v>
      </c>
      <c r="M14" s="50" t="s">
        <v>188</v>
      </c>
      <c r="N14" s="77" t="s">
        <v>189</v>
      </c>
      <c r="O14" s="86" t="s">
        <v>97</v>
      </c>
    </row>
    <row r="15" spans="2:18" x14ac:dyDescent="0.25">
      <c r="B15" s="51" t="s">
        <v>134</v>
      </c>
      <c r="C15" s="274">
        <f t="shared" ref="C15:C22" si="1">$R$4*$R$5*($I$6*I15+$J$6*J15+$K$6*K15+$L$6*L15+$M$6*M15+$N$6*N15)</f>
        <v>0</v>
      </c>
      <c r="D15" s="121">
        <f t="shared" ref="D15:D22" si="2">C4*SUM(K15:N15)+D4*SUM(I15:J15)</f>
        <v>0</v>
      </c>
      <c r="E15" s="43"/>
      <c r="F15" s="67"/>
      <c r="H15" s="55" t="s">
        <v>134</v>
      </c>
      <c r="I15" s="231"/>
      <c r="J15" s="232"/>
      <c r="K15" s="232"/>
      <c r="L15" s="232"/>
      <c r="M15" s="232"/>
      <c r="N15" s="233"/>
      <c r="O15" s="55">
        <f t="shared" ref="O15:O22" si="3">SUM(I15:N15)</f>
        <v>0</v>
      </c>
    </row>
    <row r="16" spans="2:18" x14ac:dyDescent="0.25">
      <c r="B16" s="38" t="s">
        <v>136</v>
      </c>
      <c r="C16" s="275">
        <f t="shared" si="1"/>
        <v>0</v>
      </c>
      <c r="D16" s="122">
        <f t="shared" si="2"/>
        <v>0</v>
      </c>
      <c r="E16" s="44"/>
      <c r="F16" s="90"/>
      <c r="H16" s="35" t="s">
        <v>136</v>
      </c>
      <c r="I16" s="159"/>
      <c r="J16" s="160"/>
      <c r="K16" s="160"/>
      <c r="L16" s="160"/>
      <c r="M16" s="160"/>
      <c r="N16" s="161">
        <f>Tuottajahyodyt!S10</f>
        <v>0</v>
      </c>
      <c r="O16" s="35">
        <f t="shared" si="3"/>
        <v>0</v>
      </c>
    </row>
    <row r="17" spans="2:16" x14ac:dyDescent="0.25">
      <c r="B17" s="38" t="s">
        <v>137</v>
      </c>
      <c r="C17" s="275">
        <f t="shared" si="1"/>
        <v>0</v>
      </c>
      <c r="D17" s="122">
        <f t="shared" si="2"/>
        <v>0</v>
      </c>
      <c r="E17" s="44"/>
      <c r="F17" s="90"/>
      <c r="H17" s="35" t="s">
        <v>137</v>
      </c>
      <c r="I17" s="159"/>
      <c r="J17" s="160"/>
      <c r="K17" s="160"/>
      <c r="L17" s="160"/>
      <c r="M17" s="160"/>
      <c r="N17" s="162"/>
      <c r="O17" s="35">
        <f t="shared" si="3"/>
        <v>0</v>
      </c>
    </row>
    <row r="18" spans="2:16" x14ac:dyDescent="0.25">
      <c r="B18" s="38" t="s">
        <v>138</v>
      </c>
      <c r="C18" s="275">
        <f t="shared" si="1"/>
        <v>0</v>
      </c>
      <c r="D18" s="122">
        <f t="shared" si="2"/>
        <v>0</v>
      </c>
      <c r="E18" s="44"/>
      <c r="F18" s="90"/>
      <c r="H18" s="35" t="s">
        <v>138</v>
      </c>
      <c r="I18" s="159"/>
      <c r="J18" s="160"/>
      <c r="K18" s="160"/>
      <c r="L18" s="160"/>
      <c r="M18" s="160"/>
      <c r="N18" s="162"/>
      <c r="O18" s="35">
        <f t="shared" si="3"/>
        <v>0</v>
      </c>
    </row>
    <row r="19" spans="2:16" x14ac:dyDescent="0.25">
      <c r="B19" s="38" t="s">
        <v>98</v>
      </c>
      <c r="C19" s="275">
        <f t="shared" si="1"/>
        <v>0</v>
      </c>
      <c r="D19" s="122">
        <f t="shared" si="2"/>
        <v>0</v>
      </c>
      <c r="E19" s="44"/>
      <c r="F19" s="90"/>
      <c r="H19" s="35" t="s">
        <v>98</v>
      </c>
      <c r="I19" s="224"/>
      <c r="J19" s="134"/>
      <c r="K19" s="134"/>
      <c r="L19" s="134"/>
      <c r="M19" s="134"/>
      <c r="N19" s="225"/>
      <c r="O19" s="35">
        <f t="shared" si="3"/>
        <v>0</v>
      </c>
    </row>
    <row r="20" spans="2:16" x14ac:dyDescent="0.25">
      <c r="B20" s="88" t="s">
        <v>87</v>
      </c>
      <c r="C20" s="275">
        <f t="shared" si="1"/>
        <v>0</v>
      </c>
      <c r="D20" s="122">
        <f t="shared" si="2"/>
        <v>0</v>
      </c>
      <c r="E20" s="89"/>
      <c r="F20" s="90"/>
      <c r="H20" s="35" t="s">
        <v>87</v>
      </c>
      <c r="I20" s="226"/>
      <c r="J20" s="188"/>
      <c r="K20" s="188"/>
      <c r="L20" s="188"/>
      <c r="M20" s="188"/>
      <c r="N20" s="227"/>
      <c r="O20" s="35">
        <f t="shared" si="3"/>
        <v>0</v>
      </c>
    </row>
    <row r="21" spans="2:16" x14ac:dyDescent="0.25">
      <c r="B21" s="88" t="s">
        <v>73</v>
      </c>
      <c r="C21" s="275">
        <f t="shared" si="1"/>
        <v>0</v>
      </c>
      <c r="D21" s="122">
        <f t="shared" si="2"/>
        <v>0</v>
      </c>
      <c r="E21" s="89"/>
      <c r="F21" s="90"/>
      <c r="H21" s="79" t="s">
        <v>73</v>
      </c>
      <c r="I21" s="226"/>
      <c r="J21" s="188"/>
      <c r="K21" s="188"/>
      <c r="L21" s="188"/>
      <c r="M21" s="188"/>
      <c r="N21" s="227"/>
      <c r="O21" s="35">
        <f t="shared" si="3"/>
        <v>0</v>
      </c>
    </row>
    <row r="22" spans="2:16" ht="15" customHeight="1" thickBot="1" x14ac:dyDescent="0.3">
      <c r="B22" s="52" t="s">
        <v>74</v>
      </c>
      <c r="C22" s="276">
        <f t="shared" si="1"/>
        <v>0</v>
      </c>
      <c r="D22" s="64">
        <f t="shared" si="2"/>
        <v>0</v>
      </c>
      <c r="E22" s="46"/>
      <c r="F22" s="33"/>
      <c r="H22" s="56" t="s">
        <v>74</v>
      </c>
      <c r="I22" s="228"/>
      <c r="J22" s="229"/>
      <c r="K22" s="229"/>
      <c r="L22" s="229"/>
      <c r="M22" s="229"/>
      <c r="N22" s="230"/>
      <c r="O22" s="56">
        <f t="shared" si="3"/>
        <v>0</v>
      </c>
    </row>
    <row r="23" spans="2:16" ht="15" customHeight="1" thickBot="1" x14ac:dyDescent="0.3">
      <c r="B23" s="86" t="s">
        <v>97</v>
      </c>
      <c r="C23" s="114">
        <f>SUM(C15:C22)</f>
        <v>0</v>
      </c>
      <c r="D23" s="290">
        <f>SUM(D15:D22)</f>
        <v>0</v>
      </c>
      <c r="E23" s="115"/>
      <c r="F23" s="116"/>
    </row>
    <row r="24" spans="2:16" ht="15" customHeight="1" thickBot="1" x14ac:dyDescent="0.3">
      <c r="B24" s="86" t="s">
        <v>111</v>
      </c>
      <c r="C24" s="106">
        <f>Diskonttaus!$B$11*C23</f>
        <v>0</v>
      </c>
      <c r="D24" s="107">
        <f>Diskonttaus!$B$11*D23</f>
        <v>0</v>
      </c>
      <c r="E24" s="78" t="e">
        <f>I9*I24</f>
        <v>#VALUE!</v>
      </c>
      <c r="F24" s="81" t="e">
        <f>SUM(C24:E24)</f>
        <v>#VALUE!</v>
      </c>
      <c r="H24" s="86" t="s">
        <v>267</v>
      </c>
      <c r="I24" s="32" t="s">
        <v>263</v>
      </c>
      <c r="J24" s="32" t="s">
        <v>264</v>
      </c>
      <c r="K24" s="32" t="s">
        <v>265</v>
      </c>
      <c r="L24" s="32" t="s">
        <v>266</v>
      </c>
      <c r="M24" s="32" t="s">
        <v>269</v>
      </c>
      <c r="N24" s="86" t="s">
        <v>97</v>
      </c>
      <c r="P24" s="13"/>
    </row>
    <row r="25" spans="2:16" ht="15" customHeight="1" thickBot="1" x14ac:dyDescent="0.3">
      <c r="B25" s="325"/>
      <c r="C25" s="326"/>
      <c r="D25" s="326"/>
      <c r="E25" s="326"/>
      <c r="F25" s="326"/>
      <c r="H25" s="329" t="s">
        <v>190</v>
      </c>
      <c r="I25" s="327"/>
      <c r="J25" s="328"/>
      <c r="K25" s="328"/>
      <c r="L25" s="328"/>
      <c r="M25" s="328"/>
      <c r="N25" s="81">
        <f ca="1">SUM(I25:N25)</f>
        <v>0</v>
      </c>
      <c r="P25" s="13"/>
    </row>
    <row r="26" spans="2:16" x14ac:dyDescent="0.25">
      <c r="C26" s="91"/>
      <c r="D26" s="91"/>
      <c r="E26" s="91"/>
      <c r="F26" s="91"/>
      <c r="I26" s="1"/>
      <c r="J26" s="1"/>
      <c r="K26" s="1"/>
      <c r="L26" s="1"/>
      <c r="M26" s="1"/>
      <c r="O26" s="18"/>
      <c r="P26" s="13"/>
    </row>
    <row r="27" spans="2:16" ht="15" customHeight="1" thickBot="1" x14ac:dyDescent="0.3">
      <c r="B27" s="11">
        <f>Diskonttaus!B6</f>
        <v>2060</v>
      </c>
      <c r="C27" s="91"/>
      <c r="D27" s="91"/>
      <c r="E27" s="91"/>
      <c r="F27" s="91"/>
      <c r="H27" s="11">
        <f>Diskonttaus!B6</f>
        <v>2060</v>
      </c>
      <c r="I27" s="1"/>
      <c r="J27" s="1"/>
      <c r="K27" s="1"/>
      <c r="L27" s="1"/>
      <c r="M27" s="1"/>
      <c r="O27" s="18"/>
      <c r="P27" s="13"/>
    </row>
    <row r="28" spans="2:16" ht="15" customHeight="1" thickBot="1" x14ac:dyDescent="0.3">
      <c r="B28" s="49" t="s">
        <v>181</v>
      </c>
      <c r="C28" s="53" t="s">
        <v>182</v>
      </c>
      <c r="D28" s="53" t="s">
        <v>166</v>
      </c>
      <c r="E28" s="85" t="s">
        <v>179</v>
      </c>
      <c r="F28" s="86" t="s">
        <v>97</v>
      </c>
      <c r="H28" s="31" t="s">
        <v>183</v>
      </c>
      <c r="I28" s="32" t="s">
        <v>184</v>
      </c>
      <c r="J28" s="50" t="s">
        <v>185</v>
      </c>
      <c r="K28" s="50" t="s">
        <v>186</v>
      </c>
      <c r="L28" s="50" t="s">
        <v>187</v>
      </c>
      <c r="M28" s="50" t="s">
        <v>188</v>
      </c>
      <c r="N28" s="77" t="s">
        <v>189</v>
      </c>
      <c r="O28" s="86" t="s">
        <v>97</v>
      </c>
    </row>
    <row r="29" spans="2:16" x14ac:dyDescent="0.25">
      <c r="B29" s="51" t="s">
        <v>134</v>
      </c>
      <c r="C29" s="274">
        <f t="shared" ref="C29:C36" si="4">$R$4*$R$6*($I$6*I29+$J$6*J29+$K$6*K29+$L$6*L29+$M$6*M29+$N$6*N29)</f>
        <v>0</v>
      </c>
      <c r="D29" s="69">
        <f>E4*SUM(K29:N29)+F4*SUM(I29:J29)</f>
        <v>0</v>
      </c>
      <c r="E29" s="43"/>
      <c r="F29" s="67"/>
      <c r="H29" s="55" t="s">
        <v>134</v>
      </c>
      <c r="I29" s="231"/>
      <c r="J29" s="232"/>
      <c r="K29" s="232"/>
      <c r="L29" s="232"/>
      <c r="M29" s="232"/>
      <c r="N29" s="233"/>
      <c r="O29" s="55">
        <f t="shared" ref="O29:O36" si="5">SUM(I29:N29)</f>
        <v>0</v>
      </c>
    </row>
    <row r="30" spans="2:16" x14ac:dyDescent="0.25">
      <c r="B30" s="38" t="s">
        <v>136</v>
      </c>
      <c r="C30" s="275">
        <f t="shared" si="4"/>
        <v>0</v>
      </c>
      <c r="D30" s="122">
        <f>E5*SUM(K30:N30)+F5*SUM(I30:J30)</f>
        <v>0</v>
      </c>
      <c r="E30" s="44"/>
      <c r="F30" s="90"/>
      <c r="H30" s="35" t="s">
        <v>136</v>
      </c>
      <c r="I30" s="159"/>
      <c r="J30" s="160"/>
      <c r="K30" s="160"/>
      <c r="L30" s="160"/>
      <c r="M30" s="160"/>
      <c r="N30" s="161">
        <f>Tuottajahyodyt!S18</f>
        <v>0</v>
      </c>
      <c r="O30" s="35">
        <f t="shared" si="5"/>
        <v>0</v>
      </c>
    </row>
    <row r="31" spans="2:16" x14ac:dyDescent="0.25">
      <c r="B31" s="38" t="s">
        <v>137</v>
      </c>
      <c r="C31" s="275">
        <f t="shared" si="4"/>
        <v>0</v>
      </c>
      <c r="D31" s="122">
        <f>E6*SUM(K31:N31)+F6*SUM(I31:J31)</f>
        <v>0</v>
      </c>
      <c r="E31" s="44"/>
      <c r="F31" s="90"/>
      <c r="H31" s="35" t="s">
        <v>137</v>
      </c>
      <c r="I31" s="159"/>
      <c r="J31" s="160"/>
      <c r="K31" s="160"/>
      <c r="L31" s="160"/>
      <c r="M31" s="160"/>
      <c r="N31" s="162"/>
      <c r="O31" s="35">
        <f t="shared" si="5"/>
        <v>0</v>
      </c>
    </row>
    <row r="32" spans="2:16" x14ac:dyDescent="0.25">
      <c r="B32" s="38" t="s">
        <v>138</v>
      </c>
      <c r="C32" s="275">
        <f t="shared" si="4"/>
        <v>0</v>
      </c>
      <c r="D32" s="122">
        <f>E7*SUM(K32:N32)+F7*SUM(I32:J32)</f>
        <v>0</v>
      </c>
      <c r="E32" s="44"/>
      <c r="F32" s="90"/>
      <c r="H32" s="35" t="s">
        <v>138</v>
      </c>
      <c r="I32" s="159"/>
      <c r="J32" s="160"/>
      <c r="K32" s="160"/>
      <c r="L32" s="160"/>
      <c r="M32" s="160"/>
      <c r="N32" s="162"/>
      <c r="O32" s="35">
        <f t="shared" si="5"/>
        <v>0</v>
      </c>
    </row>
    <row r="33" spans="2:16" x14ac:dyDescent="0.25">
      <c r="B33" s="38" t="s">
        <v>98</v>
      </c>
      <c r="C33" s="275">
        <f t="shared" si="4"/>
        <v>0</v>
      </c>
      <c r="D33" s="122">
        <f>E8*SUM(K33:N33)+F8*SUM(I33:J33)</f>
        <v>0</v>
      </c>
      <c r="E33" s="44"/>
      <c r="F33" s="90"/>
      <c r="H33" s="35" t="s">
        <v>98</v>
      </c>
      <c r="I33" s="224"/>
      <c r="J33" s="134"/>
      <c r="K33" s="134"/>
      <c r="L33" s="134"/>
      <c r="M33" s="134"/>
      <c r="N33" s="225"/>
      <c r="O33" s="35">
        <f t="shared" si="5"/>
        <v>0</v>
      </c>
    </row>
    <row r="34" spans="2:16" x14ac:dyDescent="0.25">
      <c r="B34" s="88" t="s">
        <v>87</v>
      </c>
      <c r="C34" s="275">
        <f t="shared" si="4"/>
        <v>0</v>
      </c>
      <c r="D34" s="122">
        <f>E9*SUM(K34:N34)+F9*SUM(I34:J34)</f>
        <v>0</v>
      </c>
      <c r="E34" s="89"/>
      <c r="F34" s="90"/>
      <c r="H34" s="35" t="s">
        <v>87</v>
      </c>
      <c r="I34" s="226"/>
      <c r="J34" s="188"/>
      <c r="K34" s="188"/>
      <c r="L34" s="188"/>
      <c r="M34" s="188"/>
      <c r="N34" s="227"/>
      <c r="O34" s="35">
        <f t="shared" si="5"/>
        <v>0</v>
      </c>
    </row>
    <row r="35" spans="2:16" x14ac:dyDescent="0.25">
      <c r="B35" s="88" t="s">
        <v>73</v>
      </c>
      <c r="C35" s="275">
        <f t="shared" si="4"/>
        <v>0</v>
      </c>
      <c r="D35" s="122">
        <f>E10*SUM(K35:N35)+F10*SUM(I35:J35)</f>
        <v>0</v>
      </c>
      <c r="E35" s="89"/>
      <c r="F35" s="90"/>
      <c r="H35" s="79" t="s">
        <v>73</v>
      </c>
      <c r="I35" s="226"/>
      <c r="J35" s="188"/>
      <c r="K35" s="188"/>
      <c r="L35" s="188"/>
      <c r="M35" s="188"/>
      <c r="N35" s="227"/>
      <c r="O35" s="35">
        <f t="shared" si="5"/>
        <v>0</v>
      </c>
    </row>
    <row r="36" spans="2:16" ht="15" customHeight="1" thickBot="1" x14ac:dyDescent="0.3">
      <c r="B36" s="52" t="s">
        <v>74</v>
      </c>
      <c r="C36" s="276">
        <f t="shared" si="4"/>
        <v>0</v>
      </c>
      <c r="D36" s="64">
        <f>E11*SUM(K36:N36)+F11*SUM(I36:J36)</f>
        <v>0</v>
      </c>
      <c r="E36" s="46"/>
      <c r="F36" s="33"/>
      <c r="H36" s="56" t="s">
        <v>74</v>
      </c>
      <c r="I36" s="228"/>
      <c r="J36" s="229"/>
      <c r="K36" s="229"/>
      <c r="L36" s="229"/>
      <c r="M36" s="229"/>
      <c r="N36" s="230"/>
      <c r="O36" s="56">
        <f t="shared" si="5"/>
        <v>0</v>
      </c>
    </row>
    <row r="37" spans="2:16" ht="15" customHeight="1" thickBot="1" x14ac:dyDescent="0.3">
      <c r="B37" s="86" t="s">
        <v>97</v>
      </c>
      <c r="C37" s="114">
        <f>SUM(C29:C36)</f>
        <v>0</v>
      </c>
      <c r="D37" s="290">
        <f>SUM(D29:D36)</f>
        <v>0</v>
      </c>
      <c r="E37" s="115"/>
      <c r="F37" s="116"/>
    </row>
    <row r="38" spans="2:16" ht="15" customHeight="1" thickBot="1" x14ac:dyDescent="0.3">
      <c r="B38" s="86" t="s">
        <v>111</v>
      </c>
      <c r="C38" s="106">
        <f>Diskonttaus!$B$11*C37</f>
        <v>0</v>
      </c>
      <c r="D38" s="107">
        <f>Diskonttaus!$B$11*D37</f>
        <v>0</v>
      </c>
      <c r="E38" s="78" t="e">
        <f>I10*I38</f>
        <v>#VALUE!</v>
      </c>
      <c r="F38" s="81" t="e">
        <f>SUM(C38:E38)</f>
        <v>#VALUE!</v>
      </c>
      <c r="H38" s="86" t="s">
        <v>267</v>
      </c>
      <c r="I38" s="32" t="s">
        <v>263</v>
      </c>
      <c r="J38" s="32" t="s">
        <v>264</v>
      </c>
      <c r="K38" s="32" t="s">
        <v>265</v>
      </c>
      <c r="L38" s="32" t="s">
        <v>266</v>
      </c>
      <c r="M38" s="32" t="s">
        <v>269</v>
      </c>
      <c r="N38" s="86" t="s">
        <v>97</v>
      </c>
    </row>
    <row r="39" spans="2:16" ht="15.75" thickBot="1" x14ac:dyDescent="0.3">
      <c r="C39" s="91"/>
      <c r="D39" s="91"/>
      <c r="E39" s="91"/>
      <c r="F39" s="91"/>
      <c r="H39" s="329" t="s">
        <v>190</v>
      </c>
      <c r="I39" s="327"/>
      <c r="J39" s="328"/>
      <c r="K39" s="328"/>
      <c r="L39" s="328"/>
      <c r="M39" s="328"/>
      <c r="N39" s="81">
        <f ca="1">SUM(I39:N39)</f>
        <v>0</v>
      </c>
    </row>
    <row r="40" spans="2:16" ht="15" customHeight="1" thickBot="1" x14ac:dyDescent="0.3">
      <c r="F40" s="91"/>
    </row>
    <row r="41" spans="2:16" ht="18.600000000000001" customHeight="1" thickBot="1" x14ac:dyDescent="0.35">
      <c r="B41" s="126" t="s">
        <v>90</v>
      </c>
      <c r="C41" s="127">
        <f ca="1">IF(ISNUMBER(Diskonttaus!$B$20),Diskonttaus!$B$19*Ulkoisvaikutukset!C24+Diskonttaus!$B$20*Ulkoisvaikutukset!C38,Diskonttaus!$B$19*Ulkoisvaikutukset!C24)</f>
        <v>0</v>
      </c>
      <c r="D41" s="128">
        <f ca="1">IF(ISNUMBER(Diskonttaus!$B$20),Diskonttaus!$B$19*Ulkoisvaikutukset!D24+Diskonttaus!$B$20*Ulkoisvaikutukset!D38,Diskonttaus!$B$19*Ulkoisvaikutukset!D24)</f>
        <v>0</v>
      </c>
      <c r="E41" s="128" t="e">
        <f ca="1">IF(ISNUMBER(Diskonttaus!$B$20),Diskonttaus!$B$19*Ulkoisvaikutukset!E24+Diskonttaus!$B$20*Ulkoisvaikutukset!E38,Diskonttaus!$B$19*Ulkoisvaikutukset!E24)</f>
        <v>#VALUE!</v>
      </c>
      <c r="F41" s="129" t="e">
        <f ca="1">IF(ISNUMBER(Diskonttaus!$B$20),Diskonttaus!$B$19*Ulkoisvaikutukset!F24+Diskonttaus!$B$20*Ulkoisvaikutukset!F38,Diskonttaus!$B$19*Ulkoisvaikutukset!F24)</f>
        <v>#VALUE!</v>
      </c>
    </row>
    <row r="42" spans="2:16" x14ac:dyDescent="0.25">
      <c r="C42" s="91"/>
      <c r="D42" s="91"/>
      <c r="E42" s="91"/>
      <c r="F42" s="91"/>
    </row>
    <row r="43" spans="2:16" x14ac:dyDescent="0.25">
      <c r="M43" s="91"/>
      <c r="N43" s="91"/>
      <c r="O43" s="91"/>
      <c r="P43" s="91"/>
    </row>
    <row r="44" spans="2:16" x14ac:dyDescent="0.25">
      <c r="M44" s="91"/>
      <c r="N44" s="91"/>
      <c r="O44" s="91"/>
      <c r="P44" s="91"/>
    </row>
    <row r="46" spans="2:16" ht="18" customHeight="1" x14ac:dyDescent="0.3">
      <c r="B46" s="123">
        <f>Diskonttaus!B4</f>
        <v>2045</v>
      </c>
      <c r="C46" t="s">
        <v>191</v>
      </c>
      <c r="G46" t="s">
        <v>192</v>
      </c>
      <c r="L46" t="s">
        <v>193</v>
      </c>
    </row>
    <row r="47" spans="2:16" x14ac:dyDescent="0.25">
      <c r="B47" t="s">
        <v>98</v>
      </c>
      <c r="C47" t="s">
        <v>170</v>
      </c>
      <c r="D47" t="s">
        <v>171</v>
      </c>
      <c r="G47" t="s">
        <v>170</v>
      </c>
      <c r="H47" t="s">
        <v>171</v>
      </c>
      <c r="L47" t="s">
        <v>170</v>
      </c>
      <c r="M47" t="s">
        <v>171</v>
      </c>
    </row>
    <row r="48" spans="2:16" x14ac:dyDescent="0.25">
      <c r="C48" s="144"/>
      <c r="D48" s="144"/>
      <c r="G48" s="248"/>
      <c r="H48" s="248"/>
      <c r="L48" s="146"/>
      <c r="M48" s="146"/>
    </row>
    <row r="49" spans="2:13" x14ac:dyDescent="0.25">
      <c r="B49" t="s">
        <v>194</v>
      </c>
      <c r="C49" s="282" cm="1">
        <f t="array" ref="C49">INDEX('Liukuvat yksikkoarvot'!$A$56:$AN$105,MATCH($B$47&amp;" / "&amp;LOWER(C$47)&amp;" (g/km)",'Liukuvat yksikkoarvot'!$A$56:$A$105,0)+MATCH($B49,{"NOx";"PM";"CO2"},0),MATCH($B$46,INDEX('Liukuvat yksikkoarvot'!$A$56:$AN$105,MATCH($B$47&amp;" / "&amp;LOWER(C$47)&amp;" (g/km)",'Liukuvat yksikkoarvot'!$A$56:$A$105,0),0),0))</f>
        <v>0.33562362820879854</v>
      </c>
      <c r="D49" s="282" cm="1">
        <f t="array" ref="D49">INDEX('Liukuvat yksikkoarvot'!$A$56:$AN$105,MATCH($B$47&amp;" / "&amp;LOWER(D$47)&amp;" (g/km)",'Liukuvat yksikkoarvot'!$A$56:$A$105,0)+MATCH($B49,{"NOx";"PM";"CO2"},0),MATCH($B$46,INDEX('Liukuvat yksikkoarvot'!$A$56:$AN$105,MATCH($B$47&amp;" / "&amp;LOWER(D$47)&amp;" (g/km)",'Liukuvat yksikkoarvot'!$A$56:$A$105,0),0),0))</f>
        <v>0.25690221569860905</v>
      </c>
      <c r="G49" s="283">
        <f>INDEX('Liukuvat yksikkoarvot'!$B$46:$AN$48,MATCH($B49,'Liukuvat yksikkoarvot'!$A$46:$A$48,0),MATCH($B$46,'Liukuvat yksikkoarvot'!$B$45:$AN$45,0))</f>
        <v>2296.5</v>
      </c>
      <c r="H49" s="283">
        <f>INDEX('Liukuvat yksikkoarvot'!$B$51:$AN$53,MATCH($B49,'Liukuvat yksikkoarvot'!$A$51:$A$53,0),MATCH($B$46,'Liukuvat yksikkoarvot'!$B$50:$AN$50,0))</f>
        <v>490</v>
      </c>
      <c r="L49" s="146">
        <f t="shared" ref="L49:M51" si="6">C49*G49/1000000</f>
        <v>7.707596621815059E-4</v>
      </c>
      <c r="M49" s="146">
        <f t="shared" si="6"/>
        <v>1.2588208569231843E-4</v>
      </c>
    </row>
    <row r="50" spans="2:13" x14ac:dyDescent="0.25">
      <c r="B50" t="s">
        <v>195</v>
      </c>
      <c r="C50" s="282" cm="1">
        <f t="array" ref="C50">INDEX('Liukuvat yksikkoarvot'!$A$56:$AN$105,MATCH($B$47&amp;" / "&amp;LOWER(C$47)&amp;" (g/km)",'Liukuvat yksikkoarvot'!$A$56:$A$105,0)+MATCH($B50,{"NOx";"PM";"CO2"},0),MATCH($B$46,INDEX('Liukuvat yksikkoarvot'!$A$56:$AN$105,MATCH($B$47&amp;" / "&amp;LOWER(C$47)&amp;" (g/km)",'Liukuvat yksikkoarvot'!$A$56:$A$105,0),0),0))</f>
        <v>7.9206031109838732E-3</v>
      </c>
      <c r="D50" s="282" cm="1">
        <f t="array" ref="D50">INDEX('Liukuvat yksikkoarvot'!$A$56:$AN$105,MATCH($B$47&amp;" / "&amp;LOWER(D$47)&amp;" (g/km)",'Liukuvat yksikkoarvot'!$A$56:$A$105,0)+MATCH($B50,{"NOx";"PM";"CO2"},0),MATCH($B$46,INDEX('Liukuvat yksikkoarvot'!$A$56:$AN$105,MATCH($B$47&amp;" / "&amp;LOWER(D$47)&amp;" (g/km)",'Liukuvat yksikkoarvot'!$A$56:$A$105,0),0),0))</f>
        <v>5.1722932830083179E-3</v>
      </c>
      <c r="G50" s="283">
        <f>INDEX('Liukuvat yksikkoarvot'!$B$46:$AN$48,MATCH($B50,'Liukuvat yksikkoarvot'!$A$46:$A$48,0),MATCH($B$46,'Liukuvat yksikkoarvot'!$B$45:$AN$45,0))</f>
        <v>214286.5</v>
      </c>
      <c r="H50" s="283">
        <f>INDEX('Liukuvat yksikkoarvot'!$B$51:$AN$53,MATCH($B50,'Liukuvat yksikkoarvot'!$A$51:$A$53,0),MATCH($B$46,'Liukuvat yksikkoarvot'!$B$50:$AN$50,0))</f>
        <v>13624.5</v>
      </c>
      <c r="L50" s="146">
        <f t="shared" si="6"/>
        <v>1.6972783185418457E-3</v>
      </c>
      <c r="M50" s="146">
        <f t="shared" si="6"/>
        <v>7.0469909834346825E-5</v>
      </c>
    </row>
    <row r="51" spans="2:13" x14ac:dyDescent="0.25">
      <c r="B51" t="s">
        <v>196</v>
      </c>
      <c r="C51" s="282" cm="1">
        <f t="array" ref="C51">INDEX('Liukuvat yksikkoarvot'!$A$56:$AN$105,MATCH($B$47&amp;" / "&amp;LOWER(C$47)&amp;" (g/km)",'Liukuvat yksikkoarvot'!$A$56:$A$105,0)+MATCH($B51,{"NOx";"PM";"CO2"},0),MATCH($B$46,INDEX('Liukuvat yksikkoarvot'!$A$56:$AN$105,MATCH($B$47&amp;" / "&amp;LOWER(C$47)&amp;" (g/km)",'Liukuvat yksikkoarvot'!$A$56:$A$105,0),0),0))</f>
        <v>14.908274190201995</v>
      </c>
      <c r="D51" s="282" cm="1">
        <f t="array" ref="D51">INDEX('Liukuvat yksikkoarvot'!$A$56:$AN$105,MATCH($B$47&amp;" / "&amp;LOWER(D$47)&amp;" (g/km)",'Liukuvat yksikkoarvot'!$A$56:$A$105,0)+MATCH($B51,{"NOx";"PM";"CO2"},0),MATCH($B$46,INDEX('Liukuvat yksikkoarvot'!$A$56:$AN$105,MATCH($B$47&amp;" / "&amp;LOWER(D$47)&amp;" (g/km)",'Liukuvat yksikkoarvot'!$A$56:$A$105,0),0),0))</f>
        <v>11.590345056089106</v>
      </c>
      <c r="G51" s="283">
        <f>INDEX('Liukuvat yksikkoarvot'!$B$46:$AN$48,MATCH($B51,'Liukuvat yksikkoarvot'!$A$46:$A$48,0),MATCH($B$46,'Liukuvat yksikkoarvot'!$B$45:$AN$45,0))</f>
        <v>745</v>
      </c>
      <c r="H51" s="283">
        <f>INDEX('Liukuvat yksikkoarvot'!$B$51:$AN$53,MATCH($B51,'Liukuvat yksikkoarvot'!$A$51:$A$53,0),MATCH($B$46,'Liukuvat yksikkoarvot'!$B$50:$AN$50,0))</f>
        <v>745</v>
      </c>
      <c r="L51" s="146">
        <f t="shared" si="6"/>
        <v>1.1106664271700487E-2</v>
      </c>
      <c r="M51" s="146">
        <f t="shared" si="6"/>
        <v>8.6348070667863833E-3</v>
      </c>
    </row>
    <row r="52" spans="2:13" x14ac:dyDescent="0.25">
      <c r="C52" s="13"/>
      <c r="D52" s="13"/>
      <c r="K52" t="s">
        <v>110</v>
      </c>
      <c r="L52" s="146">
        <f>SUM(L48:L51)</f>
        <v>1.357470225242384E-2</v>
      </c>
      <c r="M52" s="146">
        <f>SUM(M48:M51)</f>
        <v>8.8311590623130487E-3</v>
      </c>
    </row>
    <row r="53" spans="2:13" x14ac:dyDescent="0.25">
      <c r="C53" s="13"/>
      <c r="D53" s="13"/>
      <c r="L53" s="146"/>
      <c r="M53" s="146"/>
    </row>
    <row r="54" spans="2:13" x14ac:dyDescent="0.25">
      <c r="B54" t="s">
        <v>259</v>
      </c>
      <c r="C54" t="s">
        <v>191</v>
      </c>
      <c r="G54" t="s">
        <v>192</v>
      </c>
      <c r="L54" t="s">
        <v>193</v>
      </c>
    </row>
    <row r="55" spans="2:13" x14ac:dyDescent="0.25">
      <c r="B55" t="s">
        <v>87</v>
      </c>
      <c r="C55" t="s">
        <v>170</v>
      </c>
      <c r="D55" t="s">
        <v>171</v>
      </c>
      <c r="G55" t="s">
        <v>170</v>
      </c>
      <c r="H55" t="s">
        <v>171</v>
      </c>
      <c r="L55" t="s">
        <v>170</v>
      </c>
      <c r="M55" t="s">
        <v>171</v>
      </c>
    </row>
    <row r="56" spans="2:13" x14ac:dyDescent="0.25">
      <c r="C56" s="144"/>
      <c r="D56" s="144"/>
      <c r="G56" s="248"/>
      <c r="H56" s="248"/>
      <c r="L56" s="146"/>
      <c r="M56" s="146"/>
    </row>
    <row r="57" spans="2:13" x14ac:dyDescent="0.25">
      <c r="B57" t="s">
        <v>194</v>
      </c>
      <c r="C57" s="282" cm="1">
        <f t="array" ref="C57">INDEX('Liukuvat yksikkoarvot'!$A$56:$AN$105,MATCH($B$55&amp;" / "&amp;LOWER(C$55)&amp;" (g/km)",'Liukuvat yksikkoarvot'!$A$56:$A$105,0)+MATCH($B57,{"NOx";"PM";"CO2"},0),MATCH($B$46,INDEX('Liukuvat yksikkoarvot'!$A$56:$AN$105,MATCH($B$55&amp;" / "&amp;LOWER(C$55)&amp;" (g/km)",'Liukuvat yksikkoarvot'!$A$56:$A$105,0),0),0))</f>
        <v>0.81685467816854673</v>
      </c>
      <c r="D57" s="282" cm="1">
        <f t="array" ref="D57">INDEX('Liukuvat yksikkoarvot'!$A$56:$AN$105,MATCH($B$55&amp;" / "&amp;LOWER(D$55)&amp;" (g/km)",'Liukuvat yksikkoarvot'!$A$56:$A$105,0)+MATCH($B57,{"NOx";"PM";"CO2"},0),MATCH($B$46,INDEX('Liukuvat yksikkoarvot'!$A$56:$AN$105,MATCH($B$55&amp;" / "&amp;LOWER(D$55)&amp;" (g/km)",'Liukuvat yksikkoarvot'!$A$56:$A$105,0),0),0))</f>
        <v>0.67924981966818943</v>
      </c>
      <c r="G57" s="283">
        <f>INDEX('Liukuvat yksikkoarvot'!$B$46:$AN$48,MATCH($B57,'Liukuvat yksikkoarvot'!$A$46:$A$48,0),MATCH($B$46,'Liukuvat yksikkoarvot'!$B$45:$AN$45,0))</f>
        <v>2296.5</v>
      </c>
      <c r="H57" s="283">
        <f>INDEX('Liukuvat yksikkoarvot'!$B$51:$AN$53,MATCH($B57,'Liukuvat yksikkoarvot'!$A$51:$A$53,0),MATCH($B$46,'Liukuvat yksikkoarvot'!$B$50:$AN$50,0))</f>
        <v>490</v>
      </c>
      <c r="L57" s="146">
        <f t="shared" ref="L57:M59" si="7">C57*G57/1000000</f>
        <v>1.8759067684140675E-3</v>
      </c>
      <c r="M57" s="146">
        <f t="shared" si="7"/>
        <v>3.3283241163741282E-4</v>
      </c>
    </row>
    <row r="58" spans="2:13" x14ac:dyDescent="0.25">
      <c r="B58" t="s">
        <v>195</v>
      </c>
      <c r="C58" s="282" cm="1">
        <f t="array" ref="C58">INDEX('Liukuvat yksikkoarvot'!$A$56:$AN$105,MATCH($B$55&amp;" / "&amp;LOWER(C$55)&amp;" (g/km)",'Liukuvat yksikkoarvot'!$A$56:$A$105,0)+MATCH($B58,{"NOx";"PM";"CO2"},0),MATCH($B$46,INDEX('Liukuvat yksikkoarvot'!$A$56:$AN$105,MATCH($B$55&amp;" / "&amp;LOWER(C$55)&amp;" (g/km)",'Liukuvat yksikkoarvot'!$A$56:$A$105,0),0),0))</f>
        <v>4.1141340411413402E-2</v>
      </c>
      <c r="D58" s="282" cm="1">
        <f t="array" ref="D58">INDEX('Liukuvat yksikkoarvot'!$A$56:$AN$105,MATCH($B$55&amp;" / "&amp;LOWER(D$55)&amp;" (g/km)",'Liukuvat yksikkoarvot'!$A$56:$A$105,0)+MATCH($B58,{"NOx";"PM";"CO2"},0),MATCH($B$46,INDEX('Liukuvat yksikkoarvot'!$A$56:$AN$105,MATCH($B$55&amp;" / "&amp;LOWER(D$55)&amp;" (g/km)",'Liukuvat yksikkoarvot'!$A$56:$A$105,0),0),0))</f>
        <v>3.5104592450108198E-2</v>
      </c>
      <c r="G58" s="283">
        <f>INDEX('Liukuvat yksikkoarvot'!$B$46:$AN$48,MATCH($B58,'Liukuvat yksikkoarvot'!$A$46:$A$48,0),MATCH($B$46,'Liukuvat yksikkoarvot'!$B$45:$AN$45,0))</f>
        <v>214286.5</v>
      </c>
      <c r="H58" s="283">
        <f>INDEX('Liukuvat yksikkoarvot'!$B$51:$AN$53,MATCH($B58,'Liukuvat yksikkoarvot'!$A$51:$A$53,0),MATCH($B$46,'Liukuvat yksikkoarvot'!$B$50:$AN$50,0))</f>
        <v>13624.5</v>
      </c>
      <c r="L58" s="146">
        <f t="shared" si="7"/>
        <v>8.816033842070338E-3</v>
      </c>
      <c r="M58" s="146">
        <f t="shared" si="7"/>
        <v>4.7828251983649916E-4</v>
      </c>
    </row>
    <row r="59" spans="2:13" x14ac:dyDescent="0.25">
      <c r="B59" t="s">
        <v>196</v>
      </c>
      <c r="C59" s="282" cm="1">
        <f t="array" ref="C59">INDEX('Liukuvat yksikkoarvot'!$A$56:$AN$105,MATCH($B$55&amp;" / "&amp;LOWER(C$55)&amp;" (g/km)",'Liukuvat yksikkoarvot'!$A$56:$A$105,0)+MATCH($B59,{"NOx";"PM";"CO2"},0),MATCH($B$46,INDEX('Liukuvat yksikkoarvot'!$A$56:$AN$105,MATCH($B$55&amp;" / "&amp;LOWER(C$55)&amp;" (g/km)",'Liukuvat yksikkoarvot'!$A$56:$A$105,0),0),0))</f>
        <v>13.067965210235901</v>
      </c>
      <c r="D59" s="282" cm="1">
        <f t="array" ref="D59">INDEX('Liukuvat yksikkoarvot'!$A$56:$AN$105,MATCH($B$55&amp;" / "&amp;LOWER(D$55)&amp;" (g/km)",'Liukuvat yksikkoarvot'!$A$56:$A$105,0)+MATCH($B59,{"NOx";"PM";"CO2"},0),MATCH($B$46,INDEX('Liukuvat yksikkoarvot'!$A$56:$AN$105,MATCH($B$55&amp;" / "&amp;LOWER(D$55)&amp;" (g/km)",'Liukuvat yksikkoarvot'!$A$56:$A$105,0),0),0))</f>
        <v>12.479809859169601</v>
      </c>
      <c r="G59" s="283">
        <f>INDEX('Liukuvat yksikkoarvot'!$B$46:$AN$48,MATCH($B59,'Liukuvat yksikkoarvot'!$A$46:$A$48,0),MATCH($B$46,'Liukuvat yksikkoarvot'!$B$45:$AN$45,0))</f>
        <v>745</v>
      </c>
      <c r="H59" s="283">
        <f>INDEX('Liukuvat yksikkoarvot'!$B$51:$AN$53,MATCH($B59,'Liukuvat yksikkoarvot'!$A$51:$A$53,0),MATCH($B$46,'Liukuvat yksikkoarvot'!$B$50:$AN$50,0))</f>
        <v>745</v>
      </c>
      <c r="L59" s="146">
        <f t="shared" si="7"/>
        <v>9.735634081625746E-3</v>
      </c>
      <c r="M59" s="146">
        <f t="shared" si="7"/>
        <v>9.2974583450813539E-3</v>
      </c>
    </row>
    <row r="60" spans="2:13" x14ac:dyDescent="0.25">
      <c r="C60" s="13"/>
      <c r="D60" s="13"/>
      <c r="K60" t="s">
        <v>110</v>
      </c>
      <c r="L60" s="146">
        <f>SUM(L56:L59)</f>
        <v>2.0427574692110151E-2</v>
      </c>
      <c r="M60" s="146">
        <f>SUM(M56:M59)</f>
        <v>1.0108573276555266E-2</v>
      </c>
    </row>
    <row r="61" spans="2:13" x14ac:dyDescent="0.25">
      <c r="C61" s="13"/>
      <c r="D61" s="13"/>
      <c r="L61" s="146"/>
      <c r="M61" s="146"/>
    </row>
    <row r="62" spans="2:13" x14ac:dyDescent="0.25">
      <c r="B62" t="s">
        <v>259</v>
      </c>
      <c r="C62" t="s">
        <v>191</v>
      </c>
      <c r="G62" t="s">
        <v>192</v>
      </c>
      <c r="L62" t="s">
        <v>193</v>
      </c>
    </row>
    <row r="63" spans="2:13" x14ac:dyDescent="0.25">
      <c r="B63" t="s">
        <v>134</v>
      </c>
      <c r="C63" t="s">
        <v>170</v>
      </c>
      <c r="D63" t="s">
        <v>171</v>
      </c>
      <c r="G63" t="s">
        <v>170</v>
      </c>
      <c r="H63" t="s">
        <v>171</v>
      </c>
      <c r="L63" t="s">
        <v>170</v>
      </c>
      <c r="M63" t="s">
        <v>171</v>
      </c>
    </row>
    <row r="64" spans="2:13" x14ac:dyDescent="0.25">
      <c r="C64" s="144"/>
      <c r="D64" s="144"/>
      <c r="G64" s="248"/>
      <c r="H64" s="248"/>
      <c r="L64" s="146"/>
      <c r="M64" s="146"/>
    </row>
    <row r="65" spans="2:13" x14ac:dyDescent="0.25">
      <c r="B65" t="s">
        <v>194</v>
      </c>
      <c r="C65" s="282" cm="1">
        <f t="array" ref="C65">INDEX('Liukuvat yksikkoarvot'!$A$56:$AN$105,MATCH($B$63&amp;" / "&amp;LOWER(C$63)&amp;" (g/km)",'Liukuvat yksikkoarvot'!$A$56:$A$105,0)+MATCH($B65,{"NOx";"PM";"CO2"},0),MATCH($B$46,INDEX('Liukuvat yksikkoarvot'!$A$56:$AN$105,MATCH($B$63&amp;" / "&amp;LOWER(C$63)&amp;" (g/km)",'Liukuvat yksikkoarvot'!$A$56:$A$105,0),0),0))</f>
        <v>3.5449101796407185</v>
      </c>
      <c r="D65" s="282" cm="1">
        <f t="array" ref="D65">INDEX('Liukuvat yksikkoarvot'!$A$56:$AN$105,MATCH($B$63&amp;" / "&amp;LOWER(D$63)&amp;" (g/km)",'Liukuvat yksikkoarvot'!$A$56:$A$105,0)+MATCH($B65,{"NOx";"PM";"CO2"},0),MATCH($B$46,INDEX('Liukuvat yksikkoarvot'!$A$56:$AN$105,MATCH($B$63&amp;" / "&amp;LOWER(D$63)&amp;" (g/km)",'Liukuvat yksikkoarvot'!$A$56:$A$105,0),0),0))</f>
        <v>1.7837078651685394</v>
      </c>
      <c r="G65" s="283">
        <f>INDEX('Liukuvat yksikkoarvot'!$B$46:$AN$48,MATCH($B65,'Liukuvat yksikkoarvot'!$A$46:$A$48,0),MATCH($B$46,'Liukuvat yksikkoarvot'!$B$45:$AN$45,0))</f>
        <v>2296.5</v>
      </c>
      <c r="H65" s="283">
        <f>INDEX('Liukuvat yksikkoarvot'!$B$51:$AN$53,MATCH($B65,'Liukuvat yksikkoarvot'!$A$51:$A$53,0),MATCH($B$46,'Liukuvat yksikkoarvot'!$B$50:$AN$50,0))</f>
        <v>490</v>
      </c>
      <c r="L65" s="146">
        <f t="shared" ref="L65:M67" si="8">C65*G65/1000000</f>
        <v>8.14088622754491E-3</v>
      </c>
      <c r="M65" s="146">
        <f t="shared" si="8"/>
        <v>8.7401685393258439E-4</v>
      </c>
    </row>
    <row r="66" spans="2:13" x14ac:dyDescent="0.25">
      <c r="B66" t="s">
        <v>195</v>
      </c>
      <c r="C66" s="282" cm="1">
        <f t="array" ref="C66">INDEX('Liukuvat yksikkoarvot'!$A$56:$AN$105,MATCH($B$63&amp;" / "&amp;LOWER(C$63)&amp;" (g/km)",'Liukuvat yksikkoarvot'!$A$56:$A$105,0)+MATCH($B66,{"NOx";"PM";"CO2"},0),MATCH($B$46,INDEX('Liukuvat yksikkoarvot'!$A$56:$AN$105,MATCH($B$63&amp;" / "&amp;LOWER(C$63)&amp;" (g/km)",'Liukuvat yksikkoarvot'!$A$56:$A$105,0),0),0))</f>
        <v>3.5928143712574849E-2</v>
      </c>
      <c r="D66" s="282" cm="1">
        <f t="array" ref="D66">INDEX('Liukuvat yksikkoarvot'!$A$56:$AN$105,MATCH($B$63&amp;" / "&amp;LOWER(D$63)&amp;" (g/km)",'Liukuvat yksikkoarvot'!$A$56:$A$105,0)+MATCH($B66,{"NOx";"PM";"CO2"},0),MATCH($B$46,INDEX('Liukuvat yksikkoarvot'!$A$56:$AN$105,MATCH($B$63&amp;" / "&amp;LOWER(D$63)&amp;" (g/km)",'Liukuvat yksikkoarvot'!$A$56:$A$105,0),0),0))</f>
        <v>2.247191011235955E-2</v>
      </c>
      <c r="G66" s="283">
        <f>INDEX('Liukuvat yksikkoarvot'!$B$46:$AN$48,MATCH($B66,'Liukuvat yksikkoarvot'!$A$46:$A$48,0),MATCH($B$46,'Liukuvat yksikkoarvot'!$B$45:$AN$45,0))</f>
        <v>214286.5</v>
      </c>
      <c r="H66" s="283">
        <f>INDEX('Liukuvat yksikkoarvot'!$B$51:$AN$53,MATCH($B66,'Liukuvat yksikkoarvot'!$A$51:$A$53,0),MATCH($B$46,'Liukuvat yksikkoarvot'!$B$50:$AN$50,0))</f>
        <v>13624.5</v>
      </c>
      <c r="L66" s="146">
        <f t="shared" si="8"/>
        <v>7.6989161676646696E-3</v>
      </c>
      <c r="M66" s="146">
        <f t="shared" si="8"/>
        <v>3.0616853932584267E-4</v>
      </c>
    </row>
    <row r="67" spans="2:13" x14ac:dyDescent="0.25">
      <c r="B67" t="s">
        <v>196</v>
      </c>
      <c r="C67" s="282" cm="1">
        <f t="array" ref="C67">INDEX('Liukuvat yksikkoarvot'!$A$56:$AN$105,MATCH($B$63&amp;" / "&amp;LOWER(C$63)&amp;" (g/km)",'Liukuvat yksikkoarvot'!$A$56:$A$105,0)+MATCH($B67,{"NOx";"PM";"CO2"},0),MATCH($B$46,INDEX('Liukuvat yksikkoarvot'!$A$56:$AN$105,MATCH($B$63&amp;" / "&amp;LOWER(C$63)&amp;" (g/km)",'Liukuvat yksikkoarvot'!$A$56:$A$105,0),0),0))</f>
        <v>163.52314150171401</v>
      </c>
      <c r="D67" s="282" cm="1">
        <f t="array" ref="D67">INDEX('Liukuvat yksikkoarvot'!$A$56:$AN$105,MATCH($B$63&amp;" / "&amp;LOWER(D$63)&amp;" (g/km)",'Liukuvat yksikkoarvot'!$A$56:$A$105,0)+MATCH($B67,{"NOx";"PM";"CO2"},0),MATCH($B$46,INDEX('Liukuvat yksikkoarvot'!$A$56:$AN$105,MATCH($B$63&amp;" / "&amp;LOWER(D$63)&amp;" (g/km)",'Liukuvat yksikkoarvot'!$A$56:$A$105,0),0),0))</f>
        <v>109.975116055862</v>
      </c>
      <c r="G67" s="283">
        <f>INDEX('Liukuvat yksikkoarvot'!$B$46:$AN$48,MATCH($B67,'Liukuvat yksikkoarvot'!$A$46:$A$48,0),MATCH($B$46,'Liukuvat yksikkoarvot'!$B$45:$AN$45,0))</f>
        <v>745</v>
      </c>
      <c r="H67" s="283">
        <f>INDEX('Liukuvat yksikkoarvot'!$B$51:$AN$53,MATCH($B67,'Liukuvat yksikkoarvot'!$A$51:$A$53,0),MATCH($B$46,'Liukuvat yksikkoarvot'!$B$50:$AN$50,0))</f>
        <v>745</v>
      </c>
      <c r="L67" s="146">
        <f t="shared" si="8"/>
        <v>0.12182474041877694</v>
      </c>
      <c r="M67" s="146">
        <f t="shared" si="8"/>
        <v>8.1931461461617186E-2</v>
      </c>
    </row>
    <row r="68" spans="2:13" x14ac:dyDescent="0.25">
      <c r="K68" t="s">
        <v>110</v>
      </c>
      <c r="L68" s="146">
        <f>SUM(L64:L67)</f>
        <v>0.13766454281398652</v>
      </c>
      <c r="M68" s="146">
        <f>SUM(M64:M67)</f>
        <v>8.3111646854875612E-2</v>
      </c>
    </row>
    <row r="69" spans="2:13" x14ac:dyDescent="0.25">
      <c r="L69" s="146"/>
      <c r="M69" s="146"/>
    </row>
    <row r="70" spans="2:13" x14ac:dyDescent="0.25">
      <c r="B70" t="s">
        <v>259</v>
      </c>
      <c r="C70" t="s">
        <v>191</v>
      </c>
      <c r="G70" t="s">
        <v>192</v>
      </c>
      <c r="L70" t="s">
        <v>193</v>
      </c>
    </row>
    <row r="71" spans="2:13" x14ac:dyDescent="0.25">
      <c r="B71" t="s">
        <v>73</v>
      </c>
      <c r="C71" t="s">
        <v>170</v>
      </c>
      <c r="D71" t="s">
        <v>171</v>
      </c>
      <c r="G71" t="s">
        <v>170</v>
      </c>
      <c r="H71" t="s">
        <v>171</v>
      </c>
      <c r="L71" t="s">
        <v>170</v>
      </c>
      <c r="M71" t="s">
        <v>171</v>
      </c>
    </row>
    <row r="72" spans="2:13" x14ac:dyDescent="0.25">
      <c r="C72" s="144"/>
      <c r="D72" s="144"/>
      <c r="G72" s="248"/>
      <c r="H72" s="248"/>
      <c r="L72" s="146"/>
      <c r="M72" s="146"/>
    </row>
    <row r="73" spans="2:13" x14ac:dyDescent="0.25">
      <c r="B73" t="s">
        <v>194</v>
      </c>
      <c r="C73" s="282" cm="1">
        <f t="array" ref="C73">INDEX('Liukuvat yksikkoarvot'!$A$56:$AN$105,MATCH($B$71&amp;" / "&amp;LOWER(C$71)&amp;" (g/km)",'Liukuvat yksikkoarvot'!$A$56:$A$105,0)+MATCH($B73,{"NOx";"PM";"CO2"},0),MATCH($B$46,INDEX('Liukuvat yksikkoarvot'!$A$56:$AN$105,MATCH($B$71&amp;" / "&amp;LOWER(C$71)&amp;" (g/km)",'Liukuvat yksikkoarvot'!$A$56:$A$105,0),0),0))</f>
        <v>3.125</v>
      </c>
      <c r="D73" s="282" cm="1">
        <f t="array" ref="D73">INDEX('Liukuvat yksikkoarvot'!$A$56:$AN$105,MATCH($B$71&amp;" / "&amp;LOWER(D$71)&amp;" (g/km)",'Liukuvat yksikkoarvot'!$A$56:$A$105,0)+MATCH($B73,{"NOx";"PM";"CO2"},0),MATCH($B$46,INDEX('Liukuvat yksikkoarvot'!$A$56:$AN$105,MATCH($B$71&amp;" / "&amp;LOWER(D$71)&amp;" (g/km)",'Liukuvat yksikkoarvot'!$A$56:$A$105,0),0),0))</f>
        <v>2.3669369051815297</v>
      </c>
      <c r="G73" s="283">
        <f>INDEX('Liukuvat yksikkoarvot'!$B$46:$AN$48,MATCH($B73,'Liukuvat yksikkoarvot'!$A$46:$A$48,0),MATCH($B$46,'Liukuvat yksikkoarvot'!$B$45:$AN$45,0))</f>
        <v>2296.5</v>
      </c>
      <c r="H73" s="283">
        <f>INDEX('Liukuvat yksikkoarvot'!$B$51:$AN$53,MATCH($B73,'Liukuvat yksikkoarvot'!$A$51:$A$53,0),MATCH($B$46,'Liukuvat yksikkoarvot'!$B$50:$AN$50,0))</f>
        <v>490</v>
      </c>
      <c r="L73" s="146">
        <f t="shared" ref="L73:M75" si="9">C73*G73/1000000</f>
        <v>7.1765624999999998E-3</v>
      </c>
      <c r="M73" s="146">
        <f t="shared" si="9"/>
        <v>1.1597990835389496E-3</v>
      </c>
    </row>
    <row r="74" spans="2:13" x14ac:dyDescent="0.25">
      <c r="B74" t="s">
        <v>195</v>
      </c>
      <c r="C74" s="282" cm="1">
        <f t="array" ref="C74">INDEX('Liukuvat yksikkoarvot'!$A$56:$AN$105,MATCH($B$71&amp;" / "&amp;LOWER(C$71)&amp;" (g/km)",'Liukuvat yksikkoarvot'!$A$56:$A$105,0)+MATCH($B74,{"NOx";"PM";"CO2"},0),MATCH($B$46,INDEX('Liukuvat yksikkoarvot'!$A$56:$AN$105,MATCH($B$71&amp;" / "&amp;LOWER(C$71)&amp;" (g/km)",'Liukuvat yksikkoarvot'!$A$56:$A$105,0),0),0))</f>
        <v>4.716981132075472E-2</v>
      </c>
      <c r="D74" s="282" cm="1">
        <f t="array" ref="D74">INDEX('Liukuvat yksikkoarvot'!$A$56:$AN$105,MATCH($B$71&amp;" / "&amp;LOWER(D$71)&amp;" (g/km)",'Liukuvat yksikkoarvot'!$A$56:$A$105,0)+MATCH($B74,{"NOx";"PM";"CO2"},0),MATCH($B$46,INDEX('Liukuvat yksikkoarvot'!$A$56:$AN$105,MATCH($B$71&amp;" / "&amp;LOWER(D$71)&amp;" (g/km)",'Liukuvat yksikkoarvot'!$A$56:$A$105,0),0),0))</f>
        <v>3.7715897074374338E-2</v>
      </c>
      <c r="G74" s="283">
        <f>INDEX('Liukuvat yksikkoarvot'!$B$46:$AN$48,MATCH($B74,'Liukuvat yksikkoarvot'!$A$46:$A$48,0),MATCH($B$46,'Liukuvat yksikkoarvot'!$B$45:$AN$45,0))</f>
        <v>214286.5</v>
      </c>
      <c r="H74" s="283">
        <f>INDEX('Liukuvat yksikkoarvot'!$B$51:$AN$53,MATCH($B74,'Liukuvat yksikkoarvot'!$A$51:$A$53,0),MATCH($B$46,'Liukuvat yksikkoarvot'!$B$50:$AN$50,0))</f>
        <v>13624.5</v>
      </c>
      <c r="L74" s="146">
        <f t="shared" si="9"/>
        <v>1.0107853773584906E-2</v>
      </c>
      <c r="M74" s="146">
        <f t="shared" si="9"/>
        <v>5.1386023968981313E-4</v>
      </c>
    </row>
    <row r="75" spans="2:13" x14ac:dyDescent="0.25">
      <c r="B75" t="s">
        <v>196</v>
      </c>
      <c r="C75" s="282" cm="1">
        <f t="array" ref="C75">INDEX('Liukuvat yksikkoarvot'!$A$56:$AN$105,MATCH($B$71&amp;" / "&amp;LOWER(C$71)&amp;" (g/km)",'Liukuvat yksikkoarvot'!$A$56:$A$105,0)+MATCH($B75,{"NOx";"PM";"CO2"},0),MATCH($B$46,INDEX('Liukuvat yksikkoarvot'!$A$56:$AN$105,MATCH($B$71&amp;" / "&amp;LOWER(C$71)&amp;" (g/km)",'Liukuvat yksikkoarvot'!$A$56:$A$105,0),0),0))</f>
        <v>359.283025869428</v>
      </c>
      <c r="D75" s="282" cm="1">
        <f t="array" ref="D75">INDEX('Liukuvat yksikkoarvot'!$A$56:$AN$105,MATCH($B$71&amp;" / "&amp;LOWER(D$71)&amp;" (g/km)",'Liukuvat yksikkoarvot'!$A$56:$A$105,0)+MATCH($B75,{"NOx";"PM";"CO2"},0),MATCH($B$46,INDEX('Liukuvat yksikkoarvot'!$A$56:$AN$105,MATCH($B$71&amp;" / "&amp;LOWER(D$71)&amp;" (g/km)",'Liukuvat yksikkoarvot'!$A$56:$A$105,0),0),0))</f>
        <v>310.68250625026599</v>
      </c>
      <c r="G75" s="283">
        <f>INDEX('Liukuvat yksikkoarvot'!$B$46:$AN$48,MATCH($B75,'Liukuvat yksikkoarvot'!$A$46:$A$48,0),MATCH($B$46,'Liukuvat yksikkoarvot'!$B$45:$AN$45,0))</f>
        <v>745</v>
      </c>
      <c r="H75" s="283">
        <f>INDEX('Liukuvat yksikkoarvot'!$B$51:$AN$53,MATCH($B75,'Liukuvat yksikkoarvot'!$A$51:$A$53,0),MATCH($B$46,'Liukuvat yksikkoarvot'!$B$50:$AN$50,0))</f>
        <v>745</v>
      </c>
      <c r="L75" s="146">
        <f t="shared" si="9"/>
        <v>0.26766585427272382</v>
      </c>
      <c r="M75" s="146">
        <f t="shared" si="9"/>
        <v>0.23145846715644816</v>
      </c>
    </row>
    <row r="76" spans="2:13" x14ac:dyDescent="0.25">
      <c r="K76" t="s">
        <v>110</v>
      </c>
      <c r="L76" s="146">
        <f>SUM(L72:L75)</f>
        <v>0.28495027054630873</v>
      </c>
      <c r="M76" s="146">
        <f>SUM(M72:M75)</f>
        <v>0.23313212647967693</v>
      </c>
    </row>
    <row r="78" spans="2:13" x14ac:dyDescent="0.25">
      <c r="B78" t="s">
        <v>259</v>
      </c>
      <c r="C78" t="s">
        <v>191</v>
      </c>
      <c r="G78" t="s">
        <v>192</v>
      </c>
      <c r="L78" t="s">
        <v>193</v>
      </c>
    </row>
    <row r="79" spans="2:13" x14ac:dyDescent="0.25">
      <c r="B79" t="s">
        <v>74</v>
      </c>
      <c r="C79" t="s">
        <v>170</v>
      </c>
      <c r="D79" t="s">
        <v>171</v>
      </c>
      <c r="G79" t="s">
        <v>170</v>
      </c>
      <c r="H79" t="s">
        <v>171</v>
      </c>
      <c r="L79" t="s">
        <v>170</v>
      </c>
      <c r="M79" t="s">
        <v>171</v>
      </c>
    </row>
    <row r="80" spans="2:13" x14ac:dyDescent="0.25">
      <c r="C80" s="144"/>
      <c r="D80" s="144"/>
      <c r="G80" s="248"/>
      <c r="H80" s="248"/>
      <c r="L80" s="146"/>
      <c r="M80" s="146"/>
    </row>
    <row r="81" spans="2:13" x14ac:dyDescent="0.25">
      <c r="B81" t="s">
        <v>194</v>
      </c>
      <c r="C81" s="282" cm="1">
        <f t="array" ref="C81">INDEX('Liukuvat yksikkoarvot'!$A$56:$AN$105,MATCH($B$79&amp;" / "&amp;LOWER(C$79)&amp;" (g/km)",'Liukuvat yksikkoarvot'!$A$56:$A$105,0)+MATCH($B81,{"NOx";"PM";"CO2"},0),MATCH($B$46,INDEX('Liukuvat yksikkoarvot'!$A$56:$AN$105,MATCH($B$79&amp;" / "&amp;LOWER(C$79)&amp;" (g/km)",'Liukuvat yksikkoarvot'!$A$56:$A$105,0),0),0))</f>
        <v>3.125</v>
      </c>
      <c r="D81" s="282" cm="1">
        <f t="array" ref="D81">INDEX('Liukuvat yksikkoarvot'!$A$56:$AN$105,MATCH($B$79&amp;" / "&amp;LOWER(D$79)&amp;" (g/km)",'Liukuvat yksikkoarvot'!$A$56:$A$105,0)+MATCH($B81,{"NOx";"PM";"CO2"},0),MATCH($B$46,INDEX('Liukuvat yksikkoarvot'!$A$56:$AN$105,MATCH($B$79&amp;" / "&amp;LOWER(D$79)&amp;" (g/km)",'Liukuvat yksikkoarvot'!$A$56:$A$105,0),0),0))</f>
        <v>2.3669369051815297</v>
      </c>
      <c r="G81" s="283">
        <f>INDEX('Liukuvat yksikkoarvot'!$B$46:$AN$48,MATCH($B81,'Liukuvat yksikkoarvot'!$A$46:$A$48,0),MATCH($B$46,'Liukuvat yksikkoarvot'!$B$45:$AN$45,0))</f>
        <v>2296.5</v>
      </c>
      <c r="H81" s="283">
        <f>INDEX('Liukuvat yksikkoarvot'!$B$51:$AN$53,MATCH($B81,'Liukuvat yksikkoarvot'!$A$51:$A$53,0),MATCH($B$46,'Liukuvat yksikkoarvot'!$B$50:$AN$50,0))</f>
        <v>490</v>
      </c>
      <c r="L81" s="146">
        <f t="shared" ref="L81:M83" si="10">C81*G81/1000000</f>
        <v>7.1765624999999998E-3</v>
      </c>
      <c r="M81" s="146">
        <f t="shared" si="10"/>
        <v>1.1597990835389496E-3</v>
      </c>
    </row>
    <row r="82" spans="2:13" x14ac:dyDescent="0.25">
      <c r="B82" t="s">
        <v>195</v>
      </c>
      <c r="C82" s="282" cm="1">
        <f t="array" ref="C82">INDEX('Liukuvat yksikkoarvot'!$A$56:$AN$105,MATCH($B$79&amp;" / "&amp;LOWER(C$79)&amp;" (g/km)",'Liukuvat yksikkoarvot'!$A$56:$A$105,0)+MATCH($B82,{"NOx";"PM";"CO2"},0),MATCH($B$46,INDEX('Liukuvat yksikkoarvot'!$A$56:$AN$105,MATCH($B$79&amp;" / "&amp;LOWER(C$79)&amp;" (g/km)",'Liukuvat yksikkoarvot'!$A$56:$A$105,0),0),0))</f>
        <v>4.716981132075472E-2</v>
      </c>
      <c r="D82" s="282" cm="1">
        <f t="array" ref="D82">INDEX('Liukuvat yksikkoarvot'!$A$56:$AN$105,MATCH($B$79&amp;" / "&amp;LOWER(D$79)&amp;" (g/km)",'Liukuvat yksikkoarvot'!$A$56:$A$105,0)+MATCH($B82,{"NOx";"PM";"CO2"},0),MATCH($B$46,INDEX('Liukuvat yksikkoarvot'!$A$56:$AN$105,MATCH($B$79&amp;" / "&amp;LOWER(D$79)&amp;" (g/km)",'Liukuvat yksikkoarvot'!$A$56:$A$105,0),0),0))</f>
        <v>3.7715897074374338E-2</v>
      </c>
      <c r="G82" s="283">
        <f>INDEX('Liukuvat yksikkoarvot'!$B$46:$AN$48,MATCH($B82,'Liukuvat yksikkoarvot'!$A$46:$A$48,0),MATCH($B$46,'Liukuvat yksikkoarvot'!$B$45:$AN$45,0))</f>
        <v>214286.5</v>
      </c>
      <c r="H82" s="283">
        <f>INDEX('Liukuvat yksikkoarvot'!$B$51:$AN$53,MATCH($B82,'Liukuvat yksikkoarvot'!$A$51:$A$53,0),MATCH($B$46,'Liukuvat yksikkoarvot'!$B$50:$AN$50,0))</f>
        <v>13624.5</v>
      </c>
      <c r="L82" s="146">
        <f t="shared" si="10"/>
        <v>1.0107853773584906E-2</v>
      </c>
      <c r="M82" s="146">
        <f t="shared" si="10"/>
        <v>5.1386023968981313E-4</v>
      </c>
    </row>
    <row r="83" spans="2:13" x14ac:dyDescent="0.25">
      <c r="B83" t="s">
        <v>196</v>
      </c>
      <c r="C83" s="282" cm="1">
        <f t="array" ref="C83">INDEX('Liukuvat yksikkoarvot'!$A$56:$AN$105,MATCH($B$79&amp;" / "&amp;LOWER(C$79)&amp;" (g/km)",'Liukuvat yksikkoarvot'!$A$56:$A$105,0)+MATCH($B83,{"NOx";"PM";"CO2"},0),MATCH($B$46,INDEX('Liukuvat yksikkoarvot'!$A$56:$AN$105,MATCH($B$79&amp;" / "&amp;LOWER(C$79)&amp;" (g/km)",'Liukuvat yksikkoarvot'!$A$56:$A$105,0),0),0))</f>
        <v>564.22822310334698</v>
      </c>
      <c r="D83" s="282" cm="1">
        <f t="array" ref="D83">INDEX('Liukuvat yksikkoarvot'!$A$56:$AN$105,MATCH($B$79&amp;" / "&amp;LOWER(D$79)&amp;" (g/km)",'Liukuvat yksikkoarvot'!$A$56:$A$105,0)+MATCH($B83,{"NOx";"PM";"CO2"},0),MATCH($B$46,INDEX('Liukuvat yksikkoarvot'!$A$56:$AN$105,MATCH($B$79&amp;" / "&amp;LOWER(D$79)&amp;" (g/km)",'Liukuvat yksikkoarvot'!$A$56:$A$105,0),0),0))</f>
        <v>487.90459283926498</v>
      </c>
      <c r="G83" s="283">
        <f>INDEX('Liukuvat yksikkoarvot'!$B$46:$AN$48,MATCH($B83,'Liukuvat yksikkoarvot'!$A$46:$A$48,0),MATCH($B$46,'Liukuvat yksikkoarvot'!$B$45:$AN$45,0))</f>
        <v>745</v>
      </c>
      <c r="H83" s="283">
        <f>INDEX('Liukuvat yksikkoarvot'!$B$51:$AN$53,MATCH($B83,'Liukuvat yksikkoarvot'!$A$51:$A$53,0),MATCH($B$46,'Liukuvat yksikkoarvot'!$B$50:$AN$50,0))</f>
        <v>745</v>
      </c>
      <c r="L83" s="146">
        <f t="shared" si="10"/>
        <v>0.42035002621199347</v>
      </c>
      <c r="M83" s="146">
        <f t="shared" si="10"/>
        <v>0.36348892166525243</v>
      </c>
    </row>
    <row r="84" spans="2:13" x14ac:dyDescent="0.25">
      <c r="K84" t="s">
        <v>110</v>
      </c>
      <c r="L84" s="146">
        <f>SUM(L80:L83)</f>
        <v>0.43763444248557837</v>
      </c>
      <c r="M84" s="146">
        <f>SUM(M80:M83)</f>
        <v>0.3651625809884812</v>
      </c>
    </row>
    <row r="86" spans="2:13" x14ac:dyDescent="0.25">
      <c r="F86" t="s">
        <v>197</v>
      </c>
      <c r="G86" t="s">
        <v>198</v>
      </c>
      <c r="H86" t="s">
        <v>268</v>
      </c>
    </row>
    <row r="87" spans="2:13" x14ac:dyDescent="0.25">
      <c r="F87" t="s">
        <v>199</v>
      </c>
      <c r="G87" s="283">
        <f>INDEX('Liukuvat yksikkoarvot'!$B$39:$AN$43,1,MATCH($B$46,'Liukuvat yksikkoarvot'!$B$38:$AN$38,0))</f>
        <v>193.5</v>
      </c>
      <c r="H87">
        <f>G87*I25</f>
        <v>0</v>
      </c>
      <c r="I87" s="249"/>
    </row>
    <row r="88" spans="2:13" x14ac:dyDescent="0.25">
      <c r="F88" t="s">
        <v>200</v>
      </c>
      <c r="G88" s="283">
        <f>INDEX('Liukuvat yksikkoarvot'!$B$39:$AN$43,2,MATCH($B$46,'Liukuvat yksikkoarvot'!$B$38:$AN$38,0))</f>
        <v>1021</v>
      </c>
      <c r="H88">
        <f>G88*J25</f>
        <v>0</v>
      </c>
      <c r="I88" s="249"/>
    </row>
    <row r="89" spans="2:13" x14ac:dyDescent="0.25">
      <c r="F89" t="s">
        <v>201</v>
      </c>
      <c r="G89" s="283">
        <f>INDEX('Liukuvat yksikkoarvot'!$B$39:$AN$43,3,MATCH($B$46,'Liukuvat yksikkoarvot'!$B$38:$AN$38,0))</f>
        <v>2581</v>
      </c>
      <c r="H89" s="91">
        <f>G89*K25</f>
        <v>0</v>
      </c>
      <c r="I89" s="249"/>
    </row>
    <row r="90" spans="2:13" x14ac:dyDescent="0.25">
      <c r="F90" t="s">
        <v>202</v>
      </c>
      <c r="G90" s="283">
        <f>INDEX('Liukuvat yksikkoarvot'!$B$39:$AN$43,4,MATCH($B$46,'Liukuvat yksikkoarvot'!$B$38:$AN$38,0))</f>
        <v>4830.5</v>
      </c>
      <c r="H90">
        <f>G90*L25</f>
        <v>0</v>
      </c>
      <c r="I90" s="249"/>
    </row>
    <row r="91" spans="2:13" x14ac:dyDescent="0.25">
      <c r="F91" t="s">
        <v>203</v>
      </c>
      <c r="G91" s="283">
        <f>INDEX('Liukuvat yksikkoarvot'!$B$39:$AN$43,5,MATCH($B$46,'Liukuvat yksikkoarvot'!$B$38:$AN$38,0))</f>
        <v>8143</v>
      </c>
      <c r="H91">
        <f>G91*M25</f>
        <v>0</v>
      </c>
      <c r="I91" s="249"/>
    </row>
    <row r="92" spans="2:13" x14ac:dyDescent="0.25">
      <c r="H92">
        <f>SUM(H87:H91)</f>
        <v>0</v>
      </c>
      <c r="I92" s="249"/>
    </row>
    <row r="95" spans="2:13" ht="18.75" x14ac:dyDescent="0.3">
      <c r="B95" s="123">
        <f>Diskonttaus!B6</f>
        <v>2060</v>
      </c>
      <c r="C95" t="s">
        <v>191</v>
      </c>
      <c r="G95" t="s">
        <v>192</v>
      </c>
      <c r="L95" t="s">
        <v>193</v>
      </c>
    </row>
    <row r="96" spans="2:13" x14ac:dyDescent="0.25">
      <c r="B96" t="s">
        <v>98</v>
      </c>
      <c r="C96" t="s">
        <v>170</v>
      </c>
      <c r="D96" t="s">
        <v>171</v>
      </c>
      <c r="G96" t="s">
        <v>170</v>
      </c>
      <c r="H96" t="s">
        <v>171</v>
      </c>
      <c r="L96" t="s">
        <v>170</v>
      </c>
      <c r="M96" t="s">
        <v>171</v>
      </c>
    </row>
    <row r="97" spans="2:13" x14ac:dyDescent="0.25">
      <c r="C97" s="144"/>
      <c r="D97" s="144"/>
      <c r="E97" s="167"/>
      <c r="G97" s="248"/>
      <c r="H97" s="248"/>
      <c r="L97" s="146"/>
      <c r="M97" s="146"/>
    </row>
    <row r="98" spans="2:13" x14ac:dyDescent="0.25">
      <c r="B98" t="s">
        <v>194</v>
      </c>
      <c r="C98" s="282" cm="1">
        <f t="array" ref="C98">INDEX('Liukuvat yksikkoarvot'!$A$56:$AN$105,MATCH($B$96&amp;" / "&amp;LOWER(C$96)&amp;" (g/km)",'Liukuvat yksikkoarvot'!$A$56:$A$105,0)+MATCH($B98,{"NOx";"PM";"CO2"},0),MATCH($B$95,INDEX('Liukuvat yksikkoarvot'!$A$56:$AN$105,MATCH($B$96&amp;" / "&amp;LOWER(C$96)&amp;" (g/km)",'Liukuvat yksikkoarvot'!$A$56:$A$105,0),0),0))</f>
        <v>0.33562362820879854</v>
      </c>
      <c r="D98" s="282" cm="1">
        <f t="array" ref="D98">INDEX('Liukuvat yksikkoarvot'!$A$56:$AN$105,MATCH($B$96&amp;" / "&amp;LOWER(D$96)&amp;" (g/km)",'Liukuvat yksikkoarvot'!$A$56:$A$105,0)+MATCH($B98,{"NOx";"PM";"CO2"},0),MATCH($B$95,INDEX('Liukuvat yksikkoarvot'!$A$56:$AN$105,MATCH($B$96&amp;" / "&amp;LOWER(D$96)&amp;" (g/km)",'Liukuvat yksikkoarvot'!$A$56:$A$105,0),0),0))</f>
        <v>0.25690221569860905</v>
      </c>
      <c r="E98" s="167"/>
      <c r="G98" s="283">
        <f>INDEX('Liukuvat yksikkoarvot'!$B$46:$AN$48,MATCH($B98,'Liukuvat yksikkoarvot'!$A$46:$A$48,0),MATCH($B$95,'Liukuvat yksikkoarvot'!$B$45:$AN$45,0))</f>
        <v>2822</v>
      </c>
      <c r="H98" s="283">
        <f>INDEX('Liukuvat yksikkoarvot'!$B$51:$AN$53,MATCH($B98,'Liukuvat yksikkoarvot'!$A$51:$A$53,0),MATCH($B$95,'Liukuvat yksikkoarvot'!$B$50:$AN$50,0))</f>
        <v>602</v>
      </c>
      <c r="L98" s="146">
        <f t="shared" ref="L98:M100" si="11">C98*G98/1000000</f>
        <v>9.4712987880522955E-4</v>
      </c>
      <c r="M98" s="146">
        <f t="shared" si="11"/>
        <v>1.5465513385056265E-4</v>
      </c>
    </row>
    <row r="99" spans="2:13" x14ac:dyDescent="0.25">
      <c r="B99" t="s">
        <v>195</v>
      </c>
      <c r="C99" s="282" cm="1">
        <f t="array" ref="C99">INDEX('Liukuvat yksikkoarvot'!$A$56:$AN$105,MATCH($B$96&amp;" / "&amp;LOWER(C$96)&amp;" (g/km)",'Liukuvat yksikkoarvot'!$A$56:$A$105,0)+MATCH($B99,{"NOx";"PM";"CO2"},0),MATCH($B$95,INDEX('Liukuvat yksikkoarvot'!$A$56:$AN$105,MATCH($B$96&amp;" / "&amp;LOWER(C$96)&amp;" (g/km)",'Liukuvat yksikkoarvot'!$A$56:$A$105,0),0),0))</f>
        <v>7.9206031109838732E-3</v>
      </c>
      <c r="D99" s="282" cm="1">
        <f t="array" ref="D99">INDEX('Liukuvat yksikkoarvot'!$A$56:$AN$105,MATCH($B$96&amp;" / "&amp;LOWER(D$96)&amp;" (g/km)",'Liukuvat yksikkoarvot'!$A$56:$A$105,0)+MATCH($B99,{"NOx";"PM";"CO2"},0),MATCH($B$95,INDEX('Liukuvat yksikkoarvot'!$A$56:$AN$105,MATCH($B$96&amp;" / "&amp;LOWER(D$96)&amp;" (g/km)",'Liukuvat yksikkoarvot'!$A$56:$A$105,0),0),0))</f>
        <v>5.1722932830083179E-3</v>
      </c>
      <c r="E99" s="167"/>
      <c r="G99" s="283">
        <f>INDEX('Liukuvat yksikkoarvot'!$B$46:$AN$48,MATCH($B99,'Liukuvat yksikkoarvot'!$A$46:$A$48,0),MATCH($B$95,'Liukuvat yksikkoarvot'!$B$45:$AN$45,0))</f>
        <v>263378</v>
      </c>
      <c r="H99" s="283">
        <f>INDEX('Liukuvat yksikkoarvot'!$B$51:$AN$53,MATCH($B99,'Liukuvat yksikkoarvot'!$A$51:$A$53,0),MATCH($B$95,'Liukuvat yksikkoarvot'!$B$50:$AN$50,0))</f>
        <v>16743</v>
      </c>
      <c r="L99" s="146">
        <f t="shared" si="11"/>
        <v>2.0861126061647106E-3</v>
      </c>
      <c r="M99" s="146">
        <f t="shared" si="11"/>
        <v>8.6599706437408275E-5</v>
      </c>
    </row>
    <row r="100" spans="2:13" x14ac:dyDescent="0.25">
      <c r="B100" t="s">
        <v>196</v>
      </c>
      <c r="C100" s="282" cm="1">
        <f t="array" ref="C100">INDEX('Liukuvat yksikkoarvot'!$A$56:$AN$105,MATCH($B$96&amp;" / "&amp;LOWER(C$96)&amp;" (g/km)",'Liukuvat yksikkoarvot'!$A$56:$A$105,0)+MATCH($B100,{"NOx";"PM";"CO2"},0),MATCH($B$95,INDEX('Liukuvat yksikkoarvot'!$A$56:$AN$105,MATCH($B$96&amp;" / "&amp;LOWER(C$96)&amp;" (g/km)",'Liukuvat yksikkoarvot'!$A$56:$A$105,0),0),0))</f>
        <v>1.3092085931881834</v>
      </c>
      <c r="D100" s="282" cm="1">
        <f t="array" ref="D100">INDEX('Liukuvat yksikkoarvot'!$A$56:$AN$105,MATCH($B$96&amp;" / "&amp;LOWER(D$96)&amp;" (g/km)",'Liukuvat yksikkoarvot'!$A$56:$A$105,0)+MATCH($B100,{"NOx";"PM";"CO2"},0),MATCH($B$95,INDEX('Liukuvat yksikkoarvot'!$A$56:$AN$105,MATCH($B$96&amp;" / "&amp;LOWER(D$96)&amp;" (g/km)",'Liukuvat yksikkoarvot'!$A$56:$A$105,0),0),0))</f>
        <v>1.0178360789353336</v>
      </c>
      <c r="E100" s="167"/>
      <c r="G100" s="283">
        <f>INDEX('Liukuvat yksikkoarvot'!$B$46:$AN$48,MATCH($B100,'Liukuvat yksikkoarvot'!$A$46:$A$48,0),MATCH($B$95,'Liukuvat yksikkoarvot'!$B$45:$AN$45,0))</f>
        <v>1050</v>
      </c>
      <c r="H100" s="283">
        <f>INDEX('Liukuvat yksikkoarvot'!$B$51:$AN$53,MATCH($B100,'Liukuvat yksikkoarvot'!$A$51:$A$53,0),MATCH($B$95,'Liukuvat yksikkoarvot'!$B$50:$AN$50,0))</f>
        <v>1050</v>
      </c>
      <c r="L100" s="146">
        <f t="shared" si="11"/>
        <v>1.3746690228475925E-3</v>
      </c>
      <c r="M100" s="146">
        <f t="shared" si="11"/>
        <v>1.0687278828821001E-3</v>
      </c>
    </row>
    <row r="101" spans="2:13" x14ac:dyDescent="0.25">
      <c r="C101" s="13"/>
      <c r="D101" s="13"/>
      <c r="E101" s="167"/>
      <c r="K101" t="s">
        <v>110</v>
      </c>
      <c r="L101" s="146">
        <f>SUM(L97:L100)</f>
        <v>4.4079115078175333E-3</v>
      </c>
      <c r="M101" s="146">
        <f>SUM(M97:M100)</f>
        <v>1.309982723170071E-3</v>
      </c>
    </row>
    <row r="102" spans="2:13" x14ac:dyDescent="0.25">
      <c r="C102" s="13"/>
      <c r="D102" s="13"/>
      <c r="E102" s="167"/>
      <c r="L102" s="146"/>
      <c r="M102" s="146"/>
    </row>
    <row r="103" spans="2:13" x14ac:dyDescent="0.25">
      <c r="B103" t="s">
        <v>259</v>
      </c>
      <c r="C103" t="s">
        <v>191</v>
      </c>
      <c r="E103" s="167"/>
      <c r="G103" t="s">
        <v>192</v>
      </c>
      <c r="L103" t="s">
        <v>193</v>
      </c>
    </row>
    <row r="104" spans="2:13" x14ac:dyDescent="0.25">
      <c r="B104" t="s">
        <v>87</v>
      </c>
      <c r="C104" t="s">
        <v>170</v>
      </c>
      <c r="D104" t="s">
        <v>171</v>
      </c>
      <c r="E104" s="167"/>
      <c r="G104" t="s">
        <v>170</v>
      </c>
      <c r="H104" t="s">
        <v>171</v>
      </c>
      <c r="L104" t="s">
        <v>170</v>
      </c>
      <c r="M104" t="s">
        <v>171</v>
      </c>
    </row>
    <row r="105" spans="2:13" x14ac:dyDescent="0.25">
      <c r="C105" s="144"/>
      <c r="D105" s="144"/>
      <c r="E105" s="167"/>
      <c r="G105" s="248"/>
      <c r="H105" s="248"/>
      <c r="L105" s="146"/>
      <c r="M105" s="146"/>
    </row>
    <row r="106" spans="2:13" x14ac:dyDescent="0.25">
      <c r="B106" t="s">
        <v>194</v>
      </c>
      <c r="C106" s="282" cm="1">
        <f t="array" ref="C106">INDEX('Liukuvat yksikkoarvot'!$A$56:$AN$105,MATCH($B$104&amp;" / "&amp;LOWER(C$104)&amp;" (g/km)",'Liukuvat yksikkoarvot'!$A$56:$A$105,0)+MATCH($B106,{"NOx";"PM";"CO2"},0),MATCH($B$95,INDEX('Liukuvat yksikkoarvot'!$A$56:$AN$105,MATCH($B$104&amp;" / "&amp;LOWER(C$104)&amp;" (g/km)",'Liukuvat yksikkoarvot'!$A$56:$A$105,0),0),0))</f>
        <v>0.81685467816854673</v>
      </c>
      <c r="D106" s="282" cm="1">
        <f t="array" ref="D106">INDEX('Liukuvat yksikkoarvot'!$A$56:$AN$105,MATCH($B$104&amp;" / "&amp;LOWER(D$104)&amp;" (g/km)",'Liukuvat yksikkoarvot'!$A$56:$A$105,0)+MATCH($B106,{"NOx";"PM";"CO2"},0),MATCH($B$95,INDEX('Liukuvat yksikkoarvot'!$A$56:$AN$105,MATCH($B$104&amp;" / "&amp;LOWER(D$104)&amp;" (g/km)",'Liukuvat yksikkoarvot'!$A$56:$A$105,0),0),0))</f>
        <v>0.67924981966818943</v>
      </c>
      <c r="E106" s="167"/>
      <c r="G106" s="283">
        <f>INDEX('Liukuvat yksikkoarvot'!$B$46:$AN$48,MATCH($B106,'Liukuvat yksikkoarvot'!$A$46:$A$48,0),MATCH($B$95,'Liukuvat yksikkoarvot'!$B$45:$AN$45,0))</f>
        <v>2822</v>
      </c>
      <c r="H106" s="283">
        <f>INDEX('Liukuvat yksikkoarvot'!$B$51:$AN$53,MATCH($B106,'Liukuvat yksikkoarvot'!$A$51:$A$53,0),MATCH($B$95,'Liukuvat yksikkoarvot'!$B$50:$AN$50,0))</f>
        <v>602</v>
      </c>
      <c r="L106" s="146">
        <f t="shared" ref="L106:M108" si="12">C106*G106/1000000</f>
        <v>2.305163901791639E-3</v>
      </c>
      <c r="M106" s="146">
        <f t="shared" si="12"/>
        <v>4.0890839144025004E-4</v>
      </c>
    </row>
    <row r="107" spans="2:13" x14ac:dyDescent="0.25">
      <c r="B107" t="s">
        <v>195</v>
      </c>
      <c r="C107" s="282" cm="1">
        <f t="array" ref="C107">INDEX('Liukuvat yksikkoarvot'!$A$56:$AN$105,MATCH($B$104&amp;" / "&amp;LOWER(C$104)&amp;" (g/km)",'Liukuvat yksikkoarvot'!$A$56:$A$105,0)+MATCH($B107,{"NOx";"PM";"CO2"},0),MATCH($B$95,INDEX('Liukuvat yksikkoarvot'!$A$56:$AN$105,MATCH($B$104&amp;" / "&amp;LOWER(C$104)&amp;" (g/km)",'Liukuvat yksikkoarvot'!$A$56:$A$105,0),0),0))</f>
        <v>4.1141340411413402E-2</v>
      </c>
      <c r="D107" s="282" cm="1">
        <f t="array" ref="D107">INDEX('Liukuvat yksikkoarvot'!$A$56:$AN$105,MATCH($B$104&amp;" / "&amp;LOWER(D$104)&amp;" (g/km)",'Liukuvat yksikkoarvot'!$A$56:$A$105,0)+MATCH($B107,{"NOx";"PM";"CO2"},0),MATCH($B$95,INDEX('Liukuvat yksikkoarvot'!$A$56:$AN$105,MATCH($B$104&amp;" / "&amp;LOWER(D$104)&amp;" (g/km)",'Liukuvat yksikkoarvot'!$A$56:$A$105,0),0),0))</f>
        <v>3.5104592450108198E-2</v>
      </c>
      <c r="E107" s="167"/>
      <c r="G107" s="283">
        <f>INDEX('Liukuvat yksikkoarvot'!$B$46:$AN$48,MATCH($B107,'Liukuvat yksikkoarvot'!$A$46:$A$48,0),MATCH($B$95,'Liukuvat yksikkoarvot'!$B$45:$AN$45,0))</f>
        <v>263378</v>
      </c>
      <c r="H107" s="283">
        <f>INDEX('Liukuvat yksikkoarvot'!$B$51:$AN$53,MATCH($B107,'Liukuvat yksikkoarvot'!$A$51:$A$53,0),MATCH($B$95,'Liukuvat yksikkoarvot'!$B$50:$AN$50,0))</f>
        <v>16743</v>
      </c>
      <c r="L107" s="146">
        <f t="shared" si="12"/>
        <v>1.083572395487724E-2</v>
      </c>
      <c r="M107" s="146">
        <f t="shared" si="12"/>
        <v>5.877561913921616E-4</v>
      </c>
    </row>
    <row r="108" spans="2:13" x14ac:dyDescent="0.25">
      <c r="B108" t="s">
        <v>196</v>
      </c>
      <c r="C108" s="282" cm="1">
        <f t="array" ref="C108">INDEX('Liukuvat yksikkoarvot'!$A$56:$AN$105,MATCH($B$104&amp;" / "&amp;LOWER(C$104)&amp;" (g/km)",'Liukuvat yksikkoarvot'!$A$56:$A$105,0)+MATCH($B108,{"NOx";"PM";"CO2"},0),MATCH($B$95,INDEX('Liukuvat yksikkoarvot'!$A$56:$AN$105,MATCH($B$104&amp;" / "&amp;LOWER(C$104)&amp;" (g/km)",'Liukuvat yksikkoarvot'!$A$56:$A$105,0),0),0))</f>
        <v>0.93938096169858298</v>
      </c>
      <c r="D108" s="282" cm="1">
        <f t="array" ref="D108">INDEX('Liukuvat yksikkoarvot'!$A$56:$AN$105,MATCH($B$104&amp;" / "&amp;LOWER(D$104)&amp;" (g/km)",'Liukuvat yksikkoarvot'!$A$56:$A$105,0)+MATCH($B108,{"NOx";"PM";"CO2"},0),MATCH($B$95,INDEX('Liukuvat yksikkoarvot'!$A$56:$AN$105,MATCH($B$104&amp;" / "&amp;LOWER(D$104)&amp;" (g/km)",'Liukuvat yksikkoarvot'!$A$56:$A$105,0),0),0))</f>
        <v>0.89710185164401801</v>
      </c>
      <c r="E108" s="167"/>
      <c r="G108" s="283">
        <f>INDEX('Liukuvat yksikkoarvot'!$B$46:$AN$48,MATCH($B108,'Liukuvat yksikkoarvot'!$A$46:$A$48,0),MATCH($B$95,'Liukuvat yksikkoarvot'!$B$45:$AN$45,0))</f>
        <v>1050</v>
      </c>
      <c r="H108" s="283">
        <f>INDEX('Liukuvat yksikkoarvot'!$B$51:$AN$53,MATCH($B108,'Liukuvat yksikkoarvot'!$A$51:$A$53,0),MATCH($B$95,'Liukuvat yksikkoarvot'!$B$50:$AN$50,0))</f>
        <v>1050</v>
      </c>
      <c r="L108" s="146">
        <f t="shared" si="12"/>
        <v>9.863500097835121E-4</v>
      </c>
      <c r="M108" s="146">
        <f t="shared" si="12"/>
        <v>9.4195694422621889E-4</v>
      </c>
    </row>
    <row r="109" spans="2:13" x14ac:dyDescent="0.25">
      <c r="C109" s="13"/>
      <c r="D109" s="13"/>
      <c r="E109" s="167"/>
      <c r="K109" t="s">
        <v>110</v>
      </c>
      <c r="L109" s="146">
        <f>SUM(L105:L108)</f>
        <v>1.412723786645239E-2</v>
      </c>
      <c r="M109" s="146">
        <f>SUM(M105:M108)</f>
        <v>1.9386215270586304E-3</v>
      </c>
    </row>
    <row r="110" spans="2:13" x14ac:dyDescent="0.25">
      <c r="C110" s="13"/>
      <c r="D110" s="13"/>
      <c r="E110" s="167"/>
      <c r="L110" s="146"/>
      <c r="M110" s="146"/>
    </row>
    <row r="111" spans="2:13" x14ac:dyDescent="0.25">
      <c r="B111" t="s">
        <v>259</v>
      </c>
      <c r="C111" t="s">
        <v>191</v>
      </c>
      <c r="E111" s="167"/>
      <c r="G111" t="s">
        <v>192</v>
      </c>
      <c r="L111" t="s">
        <v>193</v>
      </c>
    </row>
    <row r="112" spans="2:13" x14ac:dyDescent="0.25">
      <c r="B112" t="s">
        <v>134</v>
      </c>
      <c r="C112" t="s">
        <v>170</v>
      </c>
      <c r="D112" t="s">
        <v>171</v>
      </c>
      <c r="E112" s="167"/>
      <c r="G112" t="s">
        <v>170</v>
      </c>
      <c r="H112" t="s">
        <v>171</v>
      </c>
      <c r="L112" t="s">
        <v>170</v>
      </c>
      <c r="M112" t="s">
        <v>171</v>
      </c>
    </row>
    <row r="113" spans="2:13" x14ac:dyDescent="0.25">
      <c r="C113" s="144"/>
      <c r="D113" s="144"/>
      <c r="E113" s="167"/>
      <c r="G113" s="248"/>
      <c r="H113" s="248"/>
      <c r="L113" s="146"/>
      <c r="M113" s="146"/>
    </row>
    <row r="114" spans="2:13" x14ac:dyDescent="0.25">
      <c r="B114" t="s">
        <v>194</v>
      </c>
      <c r="C114" s="282" cm="1">
        <f t="array" ref="C114">INDEX('Liukuvat yksikkoarvot'!$A$56:$AN$105,MATCH($B$112&amp;" / "&amp;LOWER(C$112)&amp;" (g/km)",'Liukuvat yksikkoarvot'!$A$56:$A$105,0)+MATCH($B114,{"NOx";"PM";"CO2"},0),MATCH($B$95,INDEX('Liukuvat yksikkoarvot'!$A$56:$AN$105,MATCH($B$112&amp;" / "&amp;LOWER(C$112)&amp;" (g/km)",'Liukuvat yksikkoarvot'!$A$56:$A$105,0),0),0))</f>
        <v>3.5449101796407185</v>
      </c>
      <c r="D114" s="282" cm="1">
        <f t="array" ref="D114">INDEX('Liukuvat yksikkoarvot'!$A$56:$AN$105,MATCH($B$112&amp;" / "&amp;LOWER(D$112)&amp;" (g/km)",'Liukuvat yksikkoarvot'!$A$56:$A$105,0)+MATCH($B114,{"NOx";"PM";"CO2"},0),MATCH($B$95,INDEX('Liukuvat yksikkoarvot'!$A$56:$AN$105,MATCH($B$112&amp;" / "&amp;LOWER(D$112)&amp;" (g/km)",'Liukuvat yksikkoarvot'!$A$56:$A$105,0),0),0))</f>
        <v>1.7837078651685394</v>
      </c>
      <c r="E114" s="167"/>
      <c r="G114" s="283">
        <f>INDEX('Liukuvat yksikkoarvot'!$B$46:$AN$48,MATCH($B114,'Liukuvat yksikkoarvot'!$A$46:$A$48,0),MATCH($B$95,'Liukuvat yksikkoarvot'!$B$45:$AN$45,0))</f>
        <v>2822</v>
      </c>
      <c r="H114" s="283">
        <f>INDEX('Liukuvat yksikkoarvot'!$B$51:$AN$53,MATCH($B114,'Liukuvat yksikkoarvot'!$A$51:$A$53,0),MATCH($B$95,'Liukuvat yksikkoarvot'!$B$50:$AN$50,0))</f>
        <v>602</v>
      </c>
      <c r="L114" s="146">
        <f t="shared" ref="L114:M116" si="13">C114*G114/1000000</f>
        <v>1.0003736526946107E-2</v>
      </c>
      <c r="M114" s="146">
        <f t="shared" si="13"/>
        <v>1.0737921348314607E-3</v>
      </c>
    </row>
    <row r="115" spans="2:13" x14ac:dyDescent="0.25">
      <c r="B115" t="s">
        <v>195</v>
      </c>
      <c r="C115" s="282" cm="1">
        <f t="array" ref="C115">INDEX('Liukuvat yksikkoarvot'!$A$56:$AN$105,MATCH($B$112&amp;" / "&amp;LOWER(C$112)&amp;" (g/km)",'Liukuvat yksikkoarvot'!$A$56:$A$105,0)+MATCH($B115,{"NOx";"PM";"CO2"},0),MATCH($B$95,INDEX('Liukuvat yksikkoarvot'!$A$56:$AN$105,MATCH($B$112&amp;" / "&amp;LOWER(C$112)&amp;" (g/km)",'Liukuvat yksikkoarvot'!$A$56:$A$105,0),0),0))</f>
        <v>3.5928143712574849E-2</v>
      </c>
      <c r="D115" s="282" cm="1">
        <f t="array" ref="D115">INDEX('Liukuvat yksikkoarvot'!$A$56:$AN$105,MATCH($B$112&amp;" / "&amp;LOWER(D$112)&amp;" (g/km)",'Liukuvat yksikkoarvot'!$A$56:$A$105,0)+MATCH($B115,{"NOx";"PM";"CO2"},0),MATCH($B$95,INDEX('Liukuvat yksikkoarvot'!$A$56:$AN$105,MATCH($B$112&amp;" / "&amp;LOWER(D$112)&amp;" (g/km)",'Liukuvat yksikkoarvot'!$A$56:$A$105,0),0),0))</f>
        <v>2.247191011235955E-2</v>
      </c>
      <c r="E115" s="167"/>
      <c r="G115" s="283">
        <f>INDEX('Liukuvat yksikkoarvot'!$B$46:$AN$48,MATCH($B115,'Liukuvat yksikkoarvot'!$A$46:$A$48,0),MATCH($B$95,'Liukuvat yksikkoarvot'!$B$45:$AN$45,0))</f>
        <v>263378</v>
      </c>
      <c r="H115" s="283">
        <f>INDEX('Liukuvat yksikkoarvot'!$B$51:$AN$53,MATCH($B115,'Liukuvat yksikkoarvot'!$A$51:$A$53,0),MATCH($B$95,'Liukuvat yksikkoarvot'!$B$50:$AN$50,0))</f>
        <v>16743</v>
      </c>
      <c r="L115" s="146">
        <f t="shared" si="13"/>
        <v>9.4626826347305373E-3</v>
      </c>
      <c r="M115" s="146">
        <f t="shared" si="13"/>
        <v>3.7624719101123593E-4</v>
      </c>
    </row>
    <row r="116" spans="2:13" x14ac:dyDescent="0.25">
      <c r="B116" t="s">
        <v>196</v>
      </c>
      <c r="C116" s="282" cm="1">
        <f t="array" ref="C116">INDEX('Liukuvat yksikkoarvot'!$A$56:$AN$105,MATCH($B$112&amp;" / "&amp;LOWER(C$112)&amp;" (g/km)",'Liukuvat yksikkoarvot'!$A$56:$A$105,0)+MATCH($B116,{"NOx";"PM";"CO2"},0),MATCH($B$95,INDEX('Liukuvat yksikkoarvot'!$A$56:$AN$105,MATCH($B$112&amp;" / "&amp;LOWER(C$112)&amp;" (g/km)",'Liukuvat yksikkoarvot'!$A$56:$A$105,0),0),0))</f>
        <v>146.31321387829999</v>
      </c>
      <c r="D116" s="282" cm="1">
        <f t="array" ref="D116">INDEX('Liukuvat yksikkoarvot'!$A$56:$AN$105,MATCH($B$112&amp;" / "&amp;LOWER(D$112)&amp;" (g/km)",'Liukuvat yksikkoarvot'!$A$56:$A$105,0)+MATCH($B116,{"NOx";"PM";"CO2"},0),MATCH($B$95,INDEX('Liukuvat yksikkoarvot'!$A$56:$AN$105,MATCH($B$112&amp;" / "&amp;LOWER(D$112)&amp;" (g/km)",'Liukuvat yksikkoarvot'!$A$56:$A$105,0),0),0))</f>
        <v>98.400828953029304</v>
      </c>
      <c r="E116" s="167"/>
      <c r="G116" s="283">
        <f>INDEX('Liukuvat yksikkoarvot'!$B$46:$AN$48,MATCH($B116,'Liukuvat yksikkoarvot'!$A$46:$A$48,0),MATCH($B$95,'Liukuvat yksikkoarvot'!$B$45:$AN$45,0))</f>
        <v>1050</v>
      </c>
      <c r="H116" s="283">
        <f>INDEX('Liukuvat yksikkoarvot'!$B$51:$AN$53,MATCH($B116,'Liukuvat yksikkoarvot'!$A$51:$A$53,0),MATCH($B$95,'Liukuvat yksikkoarvot'!$B$50:$AN$50,0))</f>
        <v>1050</v>
      </c>
      <c r="L116" s="146">
        <f t="shared" si="13"/>
        <v>0.153628874572215</v>
      </c>
      <c r="M116" s="146">
        <f t="shared" si="13"/>
        <v>0.10332087040068076</v>
      </c>
    </row>
    <row r="117" spans="2:13" x14ac:dyDescent="0.25">
      <c r="E117" s="167"/>
      <c r="K117" t="s">
        <v>110</v>
      </c>
      <c r="L117" s="146">
        <f>SUM(L113:L116)</f>
        <v>0.17309529373389165</v>
      </c>
      <c r="M117" s="146">
        <f>SUM(M113:M116)</f>
        <v>0.10477090972652346</v>
      </c>
    </row>
    <row r="118" spans="2:13" x14ac:dyDescent="0.25">
      <c r="E118" s="167"/>
      <c r="L118" s="146"/>
      <c r="M118" s="146"/>
    </row>
    <row r="119" spans="2:13" x14ac:dyDescent="0.25">
      <c r="B119" t="s">
        <v>259</v>
      </c>
      <c r="C119" t="s">
        <v>191</v>
      </c>
      <c r="E119" s="167"/>
      <c r="G119" t="s">
        <v>192</v>
      </c>
      <c r="L119" t="s">
        <v>193</v>
      </c>
    </row>
    <row r="120" spans="2:13" x14ac:dyDescent="0.25">
      <c r="B120" t="s">
        <v>73</v>
      </c>
      <c r="C120" t="s">
        <v>170</v>
      </c>
      <c r="D120" t="s">
        <v>171</v>
      </c>
      <c r="E120" s="167"/>
      <c r="G120" t="s">
        <v>170</v>
      </c>
      <c r="H120" t="s">
        <v>171</v>
      </c>
      <c r="L120" t="s">
        <v>170</v>
      </c>
      <c r="M120" t="s">
        <v>171</v>
      </c>
    </row>
    <row r="121" spans="2:13" x14ac:dyDescent="0.25">
      <c r="C121" s="144"/>
      <c r="D121" s="144"/>
      <c r="E121" s="167"/>
      <c r="G121" s="248"/>
      <c r="H121" s="248"/>
      <c r="L121" s="146"/>
      <c r="M121" s="146"/>
    </row>
    <row r="122" spans="2:13" x14ac:dyDescent="0.25">
      <c r="B122" t="s">
        <v>194</v>
      </c>
      <c r="C122" s="282" cm="1">
        <f t="array" ref="C122">INDEX('Liukuvat yksikkoarvot'!$A$56:$AN$105,MATCH($B$120&amp;" / "&amp;LOWER(C$120)&amp;" (g/km)",'Liukuvat yksikkoarvot'!$A$56:$A$105,0)+MATCH($B122,{"NOx";"PM";"CO2"},0),MATCH($B$95,INDEX('Liukuvat yksikkoarvot'!$A$56:$AN$105,MATCH($B$120&amp;" / "&amp;LOWER(C$120)&amp;" (g/km)",'Liukuvat yksikkoarvot'!$A$56:$A$105,0),0),0))</f>
        <v>3.125</v>
      </c>
      <c r="D122" s="282" cm="1">
        <f t="array" ref="D122">INDEX('Liukuvat yksikkoarvot'!$A$56:$AN$105,MATCH($B$120&amp;" / "&amp;LOWER(D$120)&amp;" (g/km)",'Liukuvat yksikkoarvot'!$A$56:$A$105,0)+MATCH($B122,{"NOx";"PM";"CO2"},0),MATCH($B$95,INDEX('Liukuvat yksikkoarvot'!$A$56:$AN$105,MATCH($B$120&amp;" / "&amp;LOWER(D$120)&amp;" (g/km)",'Liukuvat yksikkoarvot'!$A$56:$A$105,0),0),0))</f>
        <v>2.3669369051815297</v>
      </c>
      <c r="E122" s="167"/>
      <c r="G122" s="283">
        <f>INDEX('Liukuvat yksikkoarvot'!$B$46:$AN$48,MATCH($B122,'Liukuvat yksikkoarvot'!$A$46:$A$48,0),MATCH($B$95,'Liukuvat yksikkoarvot'!$B$45:$AN$45,0))</f>
        <v>2822</v>
      </c>
      <c r="H122" s="283">
        <f>INDEX('Liukuvat yksikkoarvot'!$B$51:$AN$53,MATCH($B122,'Liukuvat yksikkoarvot'!$A$51:$A$53,0),MATCH($B$95,'Liukuvat yksikkoarvot'!$B$50:$AN$50,0))</f>
        <v>602</v>
      </c>
      <c r="L122" s="146">
        <f t="shared" ref="L122:M124" si="14">C122*G122/1000000</f>
        <v>8.8187500000000002E-3</v>
      </c>
      <c r="M122" s="146">
        <f t="shared" si="14"/>
        <v>1.4248960169192808E-3</v>
      </c>
    </row>
    <row r="123" spans="2:13" x14ac:dyDescent="0.25">
      <c r="B123" t="s">
        <v>195</v>
      </c>
      <c r="C123" s="282" cm="1">
        <f t="array" ref="C123">INDEX('Liukuvat yksikkoarvot'!$A$56:$AN$105,MATCH($B$120&amp;" / "&amp;LOWER(C$120)&amp;" (g/km)",'Liukuvat yksikkoarvot'!$A$56:$A$105,0)+MATCH($B123,{"NOx";"PM";"CO2"},0),MATCH($B$95,INDEX('Liukuvat yksikkoarvot'!$A$56:$AN$105,MATCH($B$120&amp;" / "&amp;LOWER(C$120)&amp;" (g/km)",'Liukuvat yksikkoarvot'!$A$56:$A$105,0),0),0))</f>
        <v>4.716981132075472E-2</v>
      </c>
      <c r="D123" s="282" cm="1">
        <f t="array" ref="D123">INDEX('Liukuvat yksikkoarvot'!$A$56:$AN$105,MATCH($B$120&amp;" / "&amp;LOWER(D$120)&amp;" (g/km)",'Liukuvat yksikkoarvot'!$A$56:$A$105,0)+MATCH($B123,{"NOx";"PM";"CO2"},0),MATCH($B$95,INDEX('Liukuvat yksikkoarvot'!$A$56:$AN$105,MATCH($B$120&amp;" / "&amp;LOWER(D$120)&amp;" (g/km)",'Liukuvat yksikkoarvot'!$A$56:$A$105,0),0),0))</f>
        <v>3.7715897074374338E-2</v>
      </c>
      <c r="E123" s="167"/>
      <c r="G123" s="283">
        <f>INDEX('Liukuvat yksikkoarvot'!$B$46:$AN$48,MATCH($B123,'Liukuvat yksikkoarvot'!$A$46:$A$48,0),MATCH($B$95,'Liukuvat yksikkoarvot'!$B$45:$AN$45,0))</f>
        <v>263378</v>
      </c>
      <c r="H123" s="283">
        <f>INDEX('Liukuvat yksikkoarvot'!$B$51:$AN$53,MATCH($B123,'Liukuvat yksikkoarvot'!$A$51:$A$53,0),MATCH($B$95,'Liukuvat yksikkoarvot'!$B$50:$AN$50,0))</f>
        <v>16743</v>
      </c>
      <c r="L123" s="146">
        <f t="shared" si="14"/>
        <v>1.2423490566037736E-2</v>
      </c>
      <c r="M123" s="146">
        <f t="shared" si="14"/>
        <v>6.3147726471624954E-4</v>
      </c>
    </row>
    <row r="124" spans="2:13" x14ac:dyDescent="0.25">
      <c r="B124" t="s">
        <v>196</v>
      </c>
      <c r="C124" s="282" cm="1">
        <f t="array" ref="C124">INDEX('Liukuvat yksikkoarvot'!$A$56:$AN$105,MATCH($B$120&amp;" / "&amp;LOWER(C$120)&amp;" (g/km)",'Liukuvat yksikkoarvot'!$A$56:$A$105,0)+MATCH($B124,{"NOx";"PM";"CO2"},0),MATCH($B$95,INDEX('Liukuvat yksikkoarvot'!$A$56:$AN$105,MATCH($B$120&amp;" / "&amp;LOWER(C$120)&amp;" (g/km)",'Liukuvat yksikkoarvot'!$A$56:$A$105,0),0),0))</f>
        <v>196.83995646435</v>
      </c>
      <c r="D124" s="282" cm="1">
        <f t="array" ref="D124">INDEX('Liukuvat yksikkoarvot'!$A$56:$AN$105,MATCH($B$120&amp;" / "&amp;LOWER(D$120)&amp;" (g/km)",'Liukuvat yksikkoarvot'!$A$56:$A$105,0)+MATCH($B124,{"NOx";"PM";"CO2"},0),MATCH($B$95,INDEX('Liukuvat yksikkoarvot'!$A$56:$AN$105,MATCH($B$120&amp;" / "&amp;LOWER(D$120)&amp;" (g/km)",'Liukuvat yksikkoarvot'!$A$56:$A$105,0),0),0))</f>
        <v>170.21324861242601</v>
      </c>
      <c r="E124" s="167"/>
      <c r="G124" s="283">
        <f>INDEX('Liukuvat yksikkoarvot'!$B$46:$AN$48,MATCH($B124,'Liukuvat yksikkoarvot'!$A$46:$A$48,0),MATCH($B$95,'Liukuvat yksikkoarvot'!$B$45:$AN$45,0))</f>
        <v>1050</v>
      </c>
      <c r="H124" s="283">
        <f>INDEX('Liukuvat yksikkoarvot'!$B$51:$AN$53,MATCH($B124,'Liukuvat yksikkoarvot'!$A$51:$A$53,0),MATCH($B$95,'Liukuvat yksikkoarvot'!$B$50:$AN$50,0))</f>
        <v>1050</v>
      </c>
      <c r="L124" s="146">
        <f t="shared" si="14"/>
        <v>0.2066819542875675</v>
      </c>
      <c r="M124" s="146">
        <f t="shared" si="14"/>
        <v>0.17872391104304733</v>
      </c>
    </row>
    <row r="125" spans="2:13" x14ac:dyDescent="0.25">
      <c r="E125" s="167"/>
      <c r="K125" t="s">
        <v>110</v>
      </c>
      <c r="L125" s="146">
        <f>SUM(L121:L124)</f>
        <v>0.22792419485360524</v>
      </c>
      <c r="M125" s="146">
        <f>SUM(M121:M124)</f>
        <v>0.18078028432468285</v>
      </c>
    </row>
    <row r="126" spans="2:13" x14ac:dyDescent="0.25">
      <c r="E126" s="167"/>
    </row>
    <row r="127" spans="2:13" x14ac:dyDescent="0.25">
      <c r="B127" t="s">
        <v>259</v>
      </c>
      <c r="C127" t="s">
        <v>191</v>
      </c>
      <c r="E127" s="167"/>
      <c r="G127" t="s">
        <v>192</v>
      </c>
      <c r="L127" t="s">
        <v>193</v>
      </c>
    </row>
    <row r="128" spans="2:13" x14ac:dyDescent="0.25">
      <c r="B128" t="s">
        <v>74</v>
      </c>
      <c r="C128" t="s">
        <v>170</v>
      </c>
      <c r="D128" t="s">
        <v>171</v>
      </c>
      <c r="E128" s="167"/>
      <c r="G128" t="s">
        <v>170</v>
      </c>
      <c r="H128" t="s">
        <v>171</v>
      </c>
      <c r="L128" t="s">
        <v>170</v>
      </c>
      <c r="M128" t="s">
        <v>171</v>
      </c>
    </row>
    <row r="129" spans="2:13" x14ac:dyDescent="0.25">
      <c r="C129" s="144"/>
      <c r="D129" s="144"/>
      <c r="E129" s="167"/>
      <c r="G129" s="248"/>
      <c r="H129" s="248"/>
      <c r="L129" s="146"/>
      <c r="M129" s="146"/>
    </row>
    <row r="130" spans="2:13" x14ac:dyDescent="0.25">
      <c r="B130" t="s">
        <v>194</v>
      </c>
      <c r="C130" s="282" cm="1">
        <f t="array" ref="C130">INDEX('Liukuvat yksikkoarvot'!$A$56:$AN$105,MATCH($B$128&amp;" / "&amp;LOWER(C$128)&amp;" (g/km)",'Liukuvat yksikkoarvot'!$A$56:$A$105,0)+MATCH($B130,{"NOx";"PM";"CO2"},0),MATCH($B$95,INDEX('Liukuvat yksikkoarvot'!$A$56:$AN$105,MATCH($B$128&amp;" / "&amp;LOWER(C$128)&amp;" (g/km)",'Liukuvat yksikkoarvot'!$A$56:$A$105,0),0),0))</f>
        <v>3.125</v>
      </c>
      <c r="D130" s="282" cm="1">
        <f t="array" ref="D130">INDEX('Liukuvat yksikkoarvot'!$A$56:$AN$105,MATCH($B$128&amp;" / "&amp;LOWER(D$128)&amp;" (g/km)",'Liukuvat yksikkoarvot'!$A$56:$A$105,0)+MATCH($B130,{"NOx";"PM";"CO2"},0),MATCH($B$95,INDEX('Liukuvat yksikkoarvot'!$A$56:$AN$105,MATCH($B$128&amp;" / "&amp;LOWER(D$128)&amp;" (g/km)",'Liukuvat yksikkoarvot'!$A$56:$A$105,0),0),0))</f>
        <v>2.3669369051815297</v>
      </c>
      <c r="E130" s="167"/>
      <c r="G130" s="283">
        <f>INDEX('Liukuvat yksikkoarvot'!$B$46:$AN$48,MATCH($B130,'Liukuvat yksikkoarvot'!$A$46:$A$48,0),MATCH($B$95,'Liukuvat yksikkoarvot'!$B$45:$AN$45,0))</f>
        <v>2822</v>
      </c>
      <c r="H130" s="283">
        <f>INDEX('Liukuvat yksikkoarvot'!$B$51:$AN$53,MATCH($B130,'Liukuvat yksikkoarvot'!$A$51:$A$53,0),MATCH($B$95,'Liukuvat yksikkoarvot'!$B$50:$AN$50,0))</f>
        <v>602</v>
      </c>
      <c r="L130" s="146">
        <f t="shared" ref="L130:M132" si="15">C130*G130/1000000</f>
        <v>8.8187500000000002E-3</v>
      </c>
      <c r="M130" s="146">
        <f t="shared" si="15"/>
        <v>1.4248960169192808E-3</v>
      </c>
    </row>
    <row r="131" spans="2:13" x14ac:dyDescent="0.25">
      <c r="B131" t="s">
        <v>195</v>
      </c>
      <c r="C131" s="282" cm="1">
        <f t="array" ref="C131">INDEX('Liukuvat yksikkoarvot'!$A$56:$AN$105,MATCH($B$128&amp;" / "&amp;LOWER(C$128)&amp;" (g/km)",'Liukuvat yksikkoarvot'!$A$56:$A$105,0)+MATCH($B131,{"NOx";"PM";"CO2"},0),MATCH($B$95,INDEX('Liukuvat yksikkoarvot'!$A$56:$AN$105,MATCH($B$128&amp;" / "&amp;LOWER(C$128)&amp;" (g/km)",'Liukuvat yksikkoarvot'!$A$56:$A$105,0),0),0))</f>
        <v>4.716981132075472E-2</v>
      </c>
      <c r="D131" s="282" cm="1">
        <f t="array" ref="D131">INDEX('Liukuvat yksikkoarvot'!$A$56:$AN$105,MATCH($B$128&amp;" / "&amp;LOWER(D$128)&amp;" (g/km)",'Liukuvat yksikkoarvot'!$A$56:$A$105,0)+MATCH($B131,{"NOx";"PM";"CO2"},0),MATCH($B$95,INDEX('Liukuvat yksikkoarvot'!$A$56:$AN$105,MATCH($B$128&amp;" / "&amp;LOWER(D$128)&amp;" (g/km)",'Liukuvat yksikkoarvot'!$A$56:$A$105,0),0),0))</f>
        <v>3.7715897074374338E-2</v>
      </c>
      <c r="E131" s="167"/>
      <c r="G131" s="283">
        <f>INDEX('Liukuvat yksikkoarvot'!$B$46:$AN$48,MATCH($B131,'Liukuvat yksikkoarvot'!$A$46:$A$48,0),MATCH($B$95,'Liukuvat yksikkoarvot'!$B$45:$AN$45,0))</f>
        <v>263378</v>
      </c>
      <c r="H131" s="283">
        <f>INDEX('Liukuvat yksikkoarvot'!$B$51:$AN$53,MATCH($B131,'Liukuvat yksikkoarvot'!$A$51:$A$53,0),MATCH($B$95,'Liukuvat yksikkoarvot'!$B$50:$AN$50,0))</f>
        <v>16743</v>
      </c>
      <c r="L131" s="146">
        <f t="shared" si="15"/>
        <v>1.2423490566037736E-2</v>
      </c>
      <c r="M131" s="146">
        <f t="shared" si="15"/>
        <v>6.3147726471624954E-4</v>
      </c>
    </row>
    <row r="132" spans="2:13" x14ac:dyDescent="0.25">
      <c r="B132" t="s">
        <v>196</v>
      </c>
      <c r="C132" s="282" cm="1">
        <f t="array" ref="C132">INDEX('Liukuvat yksikkoarvot'!$A$56:$AN$105,MATCH($B$128&amp;" / "&amp;LOWER(C$128)&amp;" (g/km)",'Liukuvat yksikkoarvot'!$A$56:$A$105,0)+MATCH($B132,{"NOx";"PM";"CO2"},0),MATCH($B$95,INDEX('Liukuvat yksikkoarvot'!$A$56:$AN$105,MATCH($B$128&amp;" / "&amp;LOWER(C$128)&amp;" (g/km)",'Liukuvat yksikkoarvot'!$A$56:$A$105,0),0),0))</f>
        <v>384.52626536098001</v>
      </c>
      <c r="D132" s="282" cm="1">
        <f t="array" ref="D132">INDEX('Liukuvat yksikkoarvot'!$A$56:$AN$105,MATCH($B$128&amp;" / "&amp;LOWER(D$128)&amp;" (g/km)",'Liukuvat yksikkoarvot'!$A$56:$A$105,0)+MATCH($B132,{"NOx";"PM";"CO2"},0),MATCH($B$95,INDEX('Liukuvat yksikkoarvot'!$A$56:$AN$105,MATCH($B$128&amp;" / "&amp;LOWER(D$128)&amp;" (g/km)",'Liukuvat yksikkoarvot'!$A$56:$A$105,0),0),0))</f>
        <v>332.511071326874</v>
      </c>
      <c r="E132" s="167"/>
      <c r="G132" s="283">
        <f>INDEX('Liukuvat yksikkoarvot'!$B$46:$AN$48,MATCH($B132,'Liukuvat yksikkoarvot'!$A$46:$A$48,0),MATCH($B$95,'Liukuvat yksikkoarvot'!$B$45:$AN$45,0))</f>
        <v>1050</v>
      </c>
      <c r="H132" s="283">
        <f>INDEX('Liukuvat yksikkoarvot'!$B$51:$AN$53,MATCH($B132,'Liukuvat yksikkoarvot'!$A$51:$A$53,0),MATCH($B$95,'Liukuvat yksikkoarvot'!$B$50:$AN$50,0))</f>
        <v>1050</v>
      </c>
      <c r="L132" s="146">
        <f t="shared" si="15"/>
        <v>0.40375257862902897</v>
      </c>
      <c r="M132" s="146">
        <f t="shared" si="15"/>
        <v>0.34913662489321767</v>
      </c>
    </row>
    <row r="133" spans="2:13" x14ac:dyDescent="0.25">
      <c r="K133" t="s">
        <v>110</v>
      </c>
      <c r="L133" s="146">
        <f>SUM(L129:L132)</f>
        <v>0.42499481919506671</v>
      </c>
      <c r="M133" s="146">
        <f>SUM(M129:M132)</f>
        <v>0.35119299817485322</v>
      </c>
    </row>
    <row r="135" spans="2:13" x14ac:dyDescent="0.25">
      <c r="F135" t="s">
        <v>197</v>
      </c>
      <c r="G135" t="s">
        <v>198</v>
      </c>
      <c r="H135" t="s">
        <v>268</v>
      </c>
    </row>
    <row r="136" spans="2:13" x14ac:dyDescent="0.25">
      <c r="F136" t="s">
        <v>199</v>
      </c>
      <c r="G136" s="283">
        <f>INDEX('Liukuvat yksikkoarvot'!$B$39:$AN$43,1,MATCH($B$95,'Liukuvat yksikkoarvot'!$B$38:$AN$38,0))</f>
        <v>237</v>
      </c>
      <c r="H136">
        <f>G136*I39</f>
        <v>0</v>
      </c>
      <c r="I136" s="249"/>
    </row>
    <row r="137" spans="2:13" x14ac:dyDescent="0.25">
      <c r="F137" t="s">
        <v>200</v>
      </c>
      <c r="G137" s="283">
        <f>INDEX('Liukuvat yksikkoarvot'!$B$39:$AN$43,2,MATCH($B$95,'Liukuvat yksikkoarvot'!$B$38:$AN$38,0))</f>
        <v>1255</v>
      </c>
      <c r="H137">
        <f>G137*J39</f>
        <v>0</v>
      </c>
      <c r="I137" s="249"/>
    </row>
    <row r="138" spans="2:13" x14ac:dyDescent="0.25">
      <c r="F138" t="s">
        <v>201</v>
      </c>
      <c r="G138" s="283">
        <f>INDEX('Liukuvat yksikkoarvot'!$B$39:$AN$43,3,MATCH($B$95,'Liukuvat yksikkoarvot'!$B$38:$AN$38,0))</f>
        <v>3172</v>
      </c>
      <c r="H138">
        <f>G138*K39</f>
        <v>0</v>
      </c>
      <c r="I138" s="249"/>
    </row>
    <row r="139" spans="2:13" x14ac:dyDescent="0.25">
      <c r="F139" t="s">
        <v>202</v>
      </c>
      <c r="G139" s="283">
        <f>INDEX('Liukuvat yksikkoarvot'!$B$39:$AN$43,4,MATCH($B$95,'Liukuvat yksikkoarvot'!$B$38:$AN$38,0))</f>
        <v>5936</v>
      </c>
      <c r="H139">
        <f>G139*L39</f>
        <v>0</v>
      </c>
      <c r="I139" s="249"/>
    </row>
    <row r="140" spans="2:13" x14ac:dyDescent="0.25">
      <c r="F140" t="s">
        <v>203</v>
      </c>
      <c r="G140" s="283">
        <f>INDEX('Liukuvat yksikkoarvot'!$B$39:$AN$43,5,MATCH($B$95,'Liukuvat yksikkoarvot'!$B$38:$AN$38,0))</f>
        <v>10007</v>
      </c>
      <c r="H140">
        <f>G140*M39</f>
        <v>0</v>
      </c>
      <c r="I140" s="249"/>
    </row>
    <row r="141" spans="2:13" x14ac:dyDescent="0.25">
      <c r="H141">
        <f>SUM(H136:H140)</f>
        <v>0</v>
      </c>
      <c r="I141" s="249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0"/>
  <sheetViews>
    <sheetView topLeftCell="A2" workbookViewId="0">
      <selection activeCell="C30" sqref="C30"/>
    </sheetView>
  </sheetViews>
  <sheetFormatPr defaultRowHeight="15" x14ac:dyDescent="0.25"/>
  <cols>
    <col min="1" max="1" width="22.28515625" customWidth="1"/>
    <col min="2" max="2" width="24" customWidth="1"/>
    <col min="3" max="3" width="17.5703125" bestFit="1" customWidth="1"/>
    <col min="10" max="10" width="11.85546875" bestFit="1" customWidth="1"/>
  </cols>
  <sheetData>
    <row r="1" spans="1:15" x14ac:dyDescent="0.25">
      <c r="A1" s="17"/>
    </row>
    <row r="3" spans="1:15" x14ac:dyDescent="0.25">
      <c r="I3" t="s">
        <v>204</v>
      </c>
    </row>
    <row r="4" spans="1:15" x14ac:dyDescent="0.25">
      <c r="I4" t="s">
        <v>205</v>
      </c>
    </row>
    <row r="5" spans="1:15" ht="15" customHeight="1" thickBot="1" x14ac:dyDescent="0.3">
      <c r="B5" s="10" t="s">
        <v>97</v>
      </c>
    </row>
    <row r="6" spans="1:15" ht="15" customHeight="1" thickBot="1" x14ac:dyDescent="0.3">
      <c r="A6" s="11" t="s">
        <v>141</v>
      </c>
      <c r="B6" s="76">
        <f>Diskonttaus!B4</f>
        <v>2045</v>
      </c>
      <c r="C6" s="74"/>
      <c r="F6" s="150" t="s">
        <v>106</v>
      </c>
      <c r="G6" s="27" t="s">
        <v>145</v>
      </c>
      <c r="H6" s="27" t="s">
        <v>108</v>
      </c>
      <c r="I6" s="27" t="s">
        <v>110</v>
      </c>
      <c r="J6" s="28" t="s">
        <v>111</v>
      </c>
      <c r="L6" s="254" t="s">
        <v>206</v>
      </c>
      <c r="M6" s="254">
        <v>2.1272000000000002</v>
      </c>
      <c r="N6" s="254">
        <v>10.468</v>
      </c>
      <c r="O6" s="254">
        <v>2.5777299999999999</v>
      </c>
    </row>
    <row r="7" spans="1:15" x14ac:dyDescent="0.25">
      <c r="B7" s="35" t="s">
        <v>207</v>
      </c>
      <c r="C7" s="120">
        <f>Kayttajahyodyt!I82</f>
        <v>0</v>
      </c>
      <c r="F7" s="261">
        <v>0.47010154193305748</v>
      </c>
      <c r="G7" s="262">
        <v>9.552923194497516E-2</v>
      </c>
      <c r="H7" s="262">
        <v>0.38793822471709605</v>
      </c>
      <c r="I7" s="42"/>
      <c r="J7" s="43"/>
      <c r="L7" s="254"/>
      <c r="M7" s="257">
        <f>1/M6</f>
        <v>0.47010154193305748</v>
      </c>
      <c r="N7" s="257">
        <f t="shared" ref="N7:O7" si="0">1/N6</f>
        <v>9.552923194497516E-2</v>
      </c>
      <c r="O7" s="257">
        <f t="shared" si="0"/>
        <v>0.38793822471709605</v>
      </c>
    </row>
    <row r="8" spans="1:15" ht="15" customHeight="1" thickBot="1" x14ac:dyDescent="0.3">
      <c r="B8" s="35" t="s">
        <v>92</v>
      </c>
      <c r="C8" s="120">
        <f>J8</f>
        <v>0</v>
      </c>
      <c r="F8" s="148"/>
      <c r="G8" s="149"/>
      <c r="H8" s="149"/>
      <c r="I8" s="137">
        <f>F8/F7+G8/G7+H8/H7</f>
        <v>0</v>
      </c>
      <c r="J8" s="151">
        <f>I8*Diskonttaus!$B$11</f>
        <v>0</v>
      </c>
    </row>
    <row r="9" spans="1:15" ht="15" customHeight="1" thickBot="1" x14ac:dyDescent="0.3">
      <c r="B9" s="56" t="s">
        <v>54</v>
      </c>
      <c r="C9" s="111">
        <f>SUM(C7:C8)</f>
        <v>0</v>
      </c>
    </row>
    <row r="10" spans="1:15" ht="15" customHeight="1" thickBot="1" x14ac:dyDescent="0.3"/>
    <row r="11" spans="1:15" ht="15" customHeight="1" thickBot="1" x14ac:dyDescent="0.3">
      <c r="B11" s="76">
        <f>Diskonttaus!B6</f>
        <v>2060</v>
      </c>
      <c r="C11" s="74"/>
      <c r="F11" s="150" t="s">
        <v>106</v>
      </c>
      <c r="G11" s="27" t="s">
        <v>145</v>
      </c>
      <c r="H11" s="27" t="s">
        <v>108</v>
      </c>
      <c r="I11" s="27" t="s">
        <v>110</v>
      </c>
      <c r="J11" s="28" t="s">
        <v>111</v>
      </c>
    </row>
    <row r="12" spans="1:15" x14ac:dyDescent="0.25">
      <c r="B12" s="35" t="s">
        <v>207</v>
      </c>
      <c r="C12" s="120">
        <f>Kayttajahyodyt!I89</f>
        <v>0</v>
      </c>
      <c r="F12" s="261">
        <v>0.47010154193305748</v>
      </c>
      <c r="G12" s="262">
        <v>9.552923194497516E-2</v>
      </c>
      <c r="H12" s="262">
        <v>0.38793822471709605</v>
      </c>
      <c r="I12" s="42"/>
      <c r="J12" s="43"/>
    </row>
    <row r="13" spans="1:15" ht="15" customHeight="1" thickBot="1" x14ac:dyDescent="0.3">
      <c r="B13" s="35" t="s">
        <v>92</v>
      </c>
      <c r="C13" s="120">
        <f>J13</f>
        <v>0</v>
      </c>
      <c r="F13" s="148"/>
      <c r="G13" s="149"/>
      <c r="H13" s="149"/>
      <c r="I13" s="137">
        <f>F13/F12+G13/G12+H13/H12</f>
        <v>0</v>
      </c>
      <c r="J13" s="151">
        <f>I13*Diskonttaus!$B$11</f>
        <v>0</v>
      </c>
    </row>
    <row r="14" spans="1:15" ht="15" customHeight="1" thickBot="1" x14ac:dyDescent="0.3">
      <c r="B14" s="56" t="s">
        <v>54</v>
      </c>
      <c r="C14" s="111">
        <f>SUM(C12:C13)</f>
        <v>0</v>
      </c>
    </row>
    <row r="15" spans="1:15" ht="15" customHeight="1" thickBot="1" x14ac:dyDescent="0.3"/>
    <row r="16" spans="1:15" ht="18.600000000000001" customHeight="1" thickBot="1" x14ac:dyDescent="0.35">
      <c r="B16" s="125" t="s">
        <v>90</v>
      </c>
      <c r="C16" s="130">
        <f ca="1">IF(ISNUMBER(Diskonttaus!B20),Diskonttaus!B26*C9+Diskonttaus!B27*C14,Diskonttaus!B26*C9)*Diskonttaus!$B$10</f>
        <v>0</v>
      </c>
    </row>
    <row r="18" spans="1:3" x14ac:dyDescent="0.25">
      <c r="A18" s="11" t="s">
        <v>208</v>
      </c>
    </row>
    <row r="19" spans="1:3" ht="15" customHeight="1" thickBot="1" x14ac:dyDescent="0.3"/>
    <row r="20" spans="1:3" x14ac:dyDescent="0.25">
      <c r="B20" s="21">
        <f>Diskonttaus!B4</f>
        <v>2045</v>
      </c>
      <c r="C20" s="74"/>
    </row>
    <row r="21" spans="1:3" x14ac:dyDescent="0.25">
      <c r="B21" s="35" t="s">
        <v>88</v>
      </c>
      <c r="C21" s="65"/>
    </row>
    <row r="22" spans="1:3" x14ac:dyDescent="0.25">
      <c r="B22" s="35" t="s">
        <v>89</v>
      </c>
      <c r="C22" s="65"/>
    </row>
    <row r="23" spans="1:3" ht="15" customHeight="1" thickBot="1" x14ac:dyDescent="0.3">
      <c r="B23" s="56" t="s">
        <v>54</v>
      </c>
      <c r="C23" s="117"/>
    </row>
    <row r="24" spans="1:3" ht="15" customHeight="1" thickBot="1" x14ac:dyDescent="0.3"/>
    <row r="25" spans="1:3" x14ac:dyDescent="0.25">
      <c r="B25" s="21">
        <f>Diskonttaus!B6</f>
        <v>2060</v>
      </c>
      <c r="C25" s="74"/>
    </row>
    <row r="26" spans="1:3" x14ac:dyDescent="0.25">
      <c r="B26" s="35" t="s">
        <v>88</v>
      </c>
      <c r="C26" s="65"/>
    </row>
    <row r="27" spans="1:3" x14ac:dyDescent="0.25">
      <c r="B27" s="35" t="s">
        <v>89</v>
      </c>
      <c r="C27" s="65"/>
    </row>
    <row r="28" spans="1:3" ht="15.75" thickBot="1" x14ac:dyDescent="0.3">
      <c r="B28" s="56" t="s">
        <v>54</v>
      </c>
      <c r="C28" s="117"/>
    </row>
    <row r="29" spans="1:3" ht="15" customHeight="1" thickBot="1" x14ac:dyDescent="0.3">
      <c r="B29" s="118"/>
      <c r="C29" s="155"/>
    </row>
    <row r="30" spans="1:3" ht="18.600000000000001" customHeight="1" thickBot="1" x14ac:dyDescent="0.35">
      <c r="B30" s="125" t="s">
        <v>90</v>
      </c>
      <c r="C30" s="131"/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AA41"/>
  <sheetViews>
    <sheetView topLeftCell="O5" workbookViewId="0">
      <selection activeCell="AA9" sqref="AA9"/>
    </sheetView>
  </sheetViews>
  <sheetFormatPr defaultRowHeight="15" x14ac:dyDescent="0.25"/>
  <cols>
    <col min="2" max="2" width="48.28515625" customWidth="1"/>
    <col min="26" max="26" width="13.28515625" bestFit="1" customWidth="1"/>
    <col min="27" max="27" width="12" bestFit="1" customWidth="1"/>
  </cols>
  <sheetData>
    <row r="3" spans="2:27" x14ac:dyDescent="0.25">
      <c r="B3" t="s">
        <v>209</v>
      </c>
    </row>
    <row r="5" spans="2:27" ht="15.75" thickBot="1" x14ac:dyDescent="0.3"/>
    <row r="6" spans="2:27" ht="18" customHeight="1" thickBot="1" x14ac:dyDescent="0.35">
      <c r="B6" s="11" t="s">
        <v>3</v>
      </c>
      <c r="D6" s="147">
        <f>SUM(C41:W41)</f>
        <v>0</v>
      </c>
      <c r="Z6" t="s">
        <v>210</v>
      </c>
      <c r="AA6" s="123" t="s">
        <v>211</v>
      </c>
    </row>
    <row r="7" spans="2:27" x14ac:dyDescent="0.25">
      <c r="Y7" t="s">
        <v>40</v>
      </c>
      <c r="Z7">
        <f>Diskonttaus!B3+Diskonttaus!B7</f>
        <v>2075</v>
      </c>
    </row>
    <row r="8" spans="2:27" ht="15" customHeight="1" thickBot="1" x14ac:dyDescent="0.3">
      <c r="C8">
        <f>Diskonttaus!B3-10</f>
        <v>2035</v>
      </c>
      <c r="D8">
        <f t="shared" ref="D8:L8" si="0">C8+1</f>
        <v>2036</v>
      </c>
      <c r="E8">
        <f t="shared" si="0"/>
        <v>2037</v>
      </c>
      <c r="F8">
        <f t="shared" si="0"/>
        <v>2038</v>
      </c>
      <c r="G8">
        <f t="shared" si="0"/>
        <v>2039</v>
      </c>
      <c r="H8">
        <f t="shared" si="0"/>
        <v>2040</v>
      </c>
      <c r="I8">
        <f t="shared" si="0"/>
        <v>2041</v>
      </c>
      <c r="J8">
        <f t="shared" si="0"/>
        <v>2042</v>
      </c>
      <c r="K8">
        <f t="shared" si="0"/>
        <v>2043</v>
      </c>
      <c r="L8">
        <f t="shared" si="0"/>
        <v>2044</v>
      </c>
      <c r="N8">
        <f>Diskonttaus!B5-10</f>
        <v>2045</v>
      </c>
      <c r="O8">
        <f t="shared" ref="O8:W8" si="1">N8+1</f>
        <v>2046</v>
      </c>
      <c r="P8">
        <f t="shared" si="1"/>
        <v>2047</v>
      </c>
      <c r="Q8">
        <f t="shared" si="1"/>
        <v>2048</v>
      </c>
      <c r="R8">
        <f t="shared" si="1"/>
        <v>2049</v>
      </c>
      <c r="S8">
        <f t="shared" si="1"/>
        <v>2050</v>
      </c>
      <c r="T8">
        <f t="shared" si="1"/>
        <v>2051</v>
      </c>
      <c r="U8">
        <f t="shared" si="1"/>
        <v>2052</v>
      </c>
      <c r="V8">
        <f t="shared" si="1"/>
        <v>2053</v>
      </c>
      <c r="W8">
        <f t="shared" si="1"/>
        <v>2054</v>
      </c>
      <c r="X8" t="s">
        <v>54</v>
      </c>
    </row>
    <row r="9" spans="2:27" x14ac:dyDescent="0.25">
      <c r="B9" t="s">
        <v>212</v>
      </c>
      <c r="C9" s="222"/>
      <c r="D9" s="176"/>
      <c r="E9" s="176"/>
      <c r="F9" s="176"/>
      <c r="G9" s="176"/>
      <c r="H9" s="176"/>
      <c r="I9" s="176"/>
      <c r="J9" s="176"/>
      <c r="K9" s="176"/>
      <c r="L9" s="177"/>
      <c r="N9" s="222"/>
      <c r="O9" s="176"/>
      <c r="P9" s="176"/>
      <c r="Q9" s="176"/>
      <c r="R9" s="176"/>
      <c r="S9" s="176"/>
      <c r="T9" s="176"/>
      <c r="U9" s="176"/>
      <c r="V9" s="176"/>
      <c r="W9" s="177"/>
      <c r="Y9" s="13"/>
      <c r="Z9" s="178"/>
      <c r="AA9" s="57">
        <f>Z9*X27/(1+Diskonttaus!$B$8)^(Investointikustannus!$Z$7-Diskonttaus!$B$2)</f>
        <v>0</v>
      </c>
    </row>
    <row r="10" spans="2:27" x14ac:dyDescent="0.25">
      <c r="B10" t="s">
        <v>213</v>
      </c>
      <c r="C10" s="175"/>
      <c r="D10" s="145"/>
      <c r="E10" s="145"/>
      <c r="F10" s="145"/>
      <c r="G10" s="145"/>
      <c r="H10" s="145"/>
      <c r="I10" s="145"/>
      <c r="J10" s="145"/>
      <c r="K10" s="145"/>
      <c r="L10" s="172"/>
      <c r="N10" s="175"/>
      <c r="O10" s="145"/>
      <c r="P10" s="145"/>
      <c r="Q10" s="145"/>
      <c r="R10" s="145"/>
      <c r="S10" s="145"/>
      <c r="T10" s="145"/>
      <c r="U10" s="145"/>
      <c r="V10" s="145"/>
      <c r="W10" s="172"/>
      <c r="Y10" s="13"/>
      <c r="Z10" s="179"/>
      <c r="AA10" s="57">
        <f>Z10*X28/(1+Diskonttaus!$B$8)^(Investointikustannus!$Z$7-Diskonttaus!$B$2)</f>
        <v>0</v>
      </c>
    </row>
    <row r="11" spans="2:27" x14ac:dyDescent="0.25">
      <c r="B11" t="s">
        <v>214</v>
      </c>
      <c r="C11" s="175"/>
      <c r="D11" s="145"/>
      <c r="E11" s="145"/>
      <c r="F11" s="145"/>
      <c r="G11" s="145"/>
      <c r="H11" s="145"/>
      <c r="I11" s="145"/>
      <c r="J11" s="145"/>
      <c r="K11" s="145"/>
      <c r="L11" s="172"/>
      <c r="N11" s="175"/>
      <c r="O11" s="145"/>
      <c r="P11" s="145"/>
      <c r="Q11" s="145"/>
      <c r="R11" s="145"/>
      <c r="S11" s="145"/>
      <c r="T11" s="145"/>
      <c r="U11" s="145"/>
      <c r="V11" s="145"/>
      <c r="W11" s="172"/>
      <c r="Y11" s="13"/>
      <c r="Z11" s="179"/>
      <c r="AA11" s="57">
        <f>Z11*X29/(1+Diskonttaus!$B$8)^(Investointikustannus!$Z$7-Diskonttaus!$B$2)</f>
        <v>0</v>
      </c>
    </row>
    <row r="12" spans="2:27" x14ac:dyDescent="0.25">
      <c r="B12" t="s">
        <v>215</v>
      </c>
      <c r="C12" s="175"/>
      <c r="D12" s="145"/>
      <c r="E12" s="145"/>
      <c r="F12" s="145"/>
      <c r="G12" s="145"/>
      <c r="H12" s="145"/>
      <c r="I12" s="145"/>
      <c r="J12" s="145"/>
      <c r="K12" s="145"/>
      <c r="L12" s="172"/>
      <c r="N12" s="175"/>
      <c r="O12" s="145"/>
      <c r="P12" s="145"/>
      <c r="Q12" s="145"/>
      <c r="R12" s="145"/>
      <c r="S12" s="145"/>
      <c r="T12" s="145"/>
      <c r="U12" s="145"/>
      <c r="V12" s="145"/>
      <c r="W12" s="172"/>
      <c r="Y12" s="13"/>
      <c r="Z12" s="179"/>
      <c r="AA12" s="57">
        <f>Z12*X30/(1+Diskonttaus!$B$8)^(Investointikustannus!$Z$7-Diskonttaus!$B$2)</f>
        <v>0</v>
      </c>
    </row>
    <row r="13" spans="2:27" x14ac:dyDescent="0.25">
      <c r="B13" t="s">
        <v>216</v>
      </c>
      <c r="C13" s="175"/>
      <c r="D13" s="145"/>
      <c r="E13" s="145"/>
      <c r="F13" s="145"/>
      <c r="G13" s="145"/>
      <c r="H13" s="145"/>
      <c r="I13" s="145"/>
      <c r="J13" s="145"/>
      <c r="K13" s="145"/>
      <c r="L13" s="172"/>
      <c r="N13" s="175"/>
      <c r="O13" s="145"/>
      <c r="P13" s="145"/>
      <c r="Q13" s="145"/>
      <c r="R13" s="145"/>
      <c r="S13" s="145"/>
      <c r="T13" s="145"/>
      <c r="U13" s="145"/>
      <c r="V13" s="145"/>
      <c r="W13" s="172"/>
      <c r="Y13" s="13"/>
      <c r="Z13" s="179"/>
      <c r="AA13" s="57">
        <f>Z13*X31/(1+Diskonttaus!$B$8)^(Investointikustannus!$Z$7-Diskonttaus!$B$2)</f>
        <v>0</v>
      </c>
    </row>
    <row r="14" spans="2:27" x14ac:dyDescent="0.25">
      <c r="B14" t="s">
        <v>217</v>
      </c>
      <c r="C14" s="175"/>
      <c r="D14" s="145"/>
      <c r="E14" s="145"/>
      <c r="F14" s="145"/>
      <c r="G14" s="145"/>
      <c r="H14" s="145"/>
      <c r="I14" s="145"/>
      <c r="J14" s="145"/>
      <c r="K14" s="145"/>
      <c r="L14" s="172"/>
      <c r="N14" s="175"/>
      <c r="O14" s="145"/>
      <c r="P14" s="145"/>
      <c r="Q14" s="145"/>
      <c r="R14" s="145"/>
      <c r="S14" s="145"/>
      <c r="T14" s="145"/>
      <c r="U14" s="145"/>
      <c r="V14" s="145"/>
      <c r="W14" s="172"/>
      <c r="Y14" s="13"/>
      <c r="Z14" s="180"/>
      <c r="AA14" s="57">
        <f>Z14*X32/(1+Diskonttaus!$B$8)^(Investointikustannus!$Z$7-Diskonttaus!$B$2)</f>
        <v>0</v>
      </c>
    </row>
    <row r="15" spans="2:27" x14ac:dyDescent="0.25">
      <c r="B15" t="s">
        <v>218</v>
      </c>
      <c r="C15" s="175"/>
      <c r="D15" s="145"/>
      <c r="E15" s="145"/>
      <c r="F15" s="145"/>
      <c r="G15" s="145"/>
      <c r="H15" s="145"/>
      <c r="I15" s="145"/>
      <c r="J15" s="145"/>
      <c r="K15" s="145"/>
      <c r="L15" s="172"/>
      <c r="N15" s="175"/>
      <c r="O15" s="145"/>
      <c r="P15" s="145"/>
      <c r="Q15" s="145"/>
      <c r="R15" s="145"/>
      <c r="S15" s="145"/>
      <c r="T15" s="145"/>
      <c r="U15" s="145"/>
      <c r="V15" s="145"/>
      <c r="W15" s="172"/>
      <c r="Y15" s="13"/>
      <c r="Z15" s="180"/>
      <c r="AA15" s="57">
        <f>Z15*X33/(1+Diskonttaus!$B$8)^(Investointikustannus!$Z$7-Diskonttaus!$B$2)</f>
        <v>0</v>
      </c>
    </row>
    <row r="16" spans="2:27" x14ac:dyDescent="0.25">
      <c r="B16" t="s">
        <v>219</v>
      </c>
      <c r="C16" s="175"/>
      <c r="D16" s="145"/>
      <c r="E16" s="145"/>
      <c r="F16" s="145"/>
      <c r="G16" s="145"/>
      <c r="H16" s="145"/>
      <c r="I16" s="145"/>
      <c r="J16" s="145"/>
      <c r="K16" s="145"/>
      <c r="L16" s="172"/>
      <c r="N16" s="175"/>
      <c r="O16" s="145"/>
      <c r="P16" s="145"/>
      <c r="Q16" s="145"/>
      <c r="R16" s="145"/>
      <c r="S16" s="145"/>
      <c r="T16" s="145"/>
      <c r="U16" s="145"/>
      <c r="V16" s="145"/>
      <c r="W16" s="172"/>
      <c r="Y16" s="13"/>
      <c r="Z16" s="180"/>
      <c r="AA16" s="57">
        <f>Z16*X34/(1+Diskonttaus!$B$8)^(Investointikustannus!$Z$7-Diskonttaus!$B$2)</f>
        <v>0</v>
      </c>
    </row>
    <row r="17" spans="2:27" x14ac:dyDescent="0.25">
      <c r="B17" t="s">
        <v>220</v>
      </c>
      <c r="C17" s="175"/>
      <c r="D17" s="145"/>
      <c r="E17" s="145"/>
      <c r="F17" s="145"/>
      <c r="G17" s="145"/>
      <c r="H17" s="145"/>
      <c r="I17" s="145"/>
      <c r="J17" s="145"/>
      <c r="K17" s="145"/>
      <c r="L17" s="172"/>
      <c r="N17" s="175"/>
      <c r="O17" s="145"/>
      <c r="P17" s="145"/>
      <c r="Q17" s="145"/>
      <c r="R17" s="145"/>
      <c r="S17" s="145"/>
      <c r="T17" s="145"/>
      <c r="U17" s="145"/>
      <c r="V17" s="145"/>
      <c r="W17" s="172"/>
      <c r="Y17" s="13"/>
      <c r="Z17" s="180"/>
      <c r="AA17" s="57">
        <f>Z17*X35/(1+Diskonttaus!$B$8)^(Investointikustannus!$Z$7-Diskonttaus!$B$2)</f>
        <v>0</v>
      </c>
    </row>
    <row r="18" spans="2:27" x14ac:dyDescent="0.25">
      <c r="B18" t="s">
        <v>221</v>
      </c>
      <c r="C18" s="175"/>
      <c r="D18" s="145"/>
      <c r="E18" s="145"/>
      <c r="F18" s="145"/>
      <c r="G18" s="145"/>
      <c r="H18" s="145"/>
      <c r="I18" s="145"/>
      <c r="J18" s="145"/>
      <c r="K18" s="145"/>
      <c r="L18" s="172"/>
      <c r="N18" s="175"/>
      <c r="O18" s="145"/>
      <c r="P18" s="145"/>
      <c r="Q18" s="145"/>
      <c r="R18" s="145"/>
      <c r="S18" s="145"/>
      <c r="T18" s="145"/>
      <c r="U18" s="145"/>
      <c r="V18" s="145"/>
      <c r="W18" s="172"/>
      <c r="Y18" s="13"/>
      <c r="Z18" s="180"/>
      <c r="AA18" s="57">
        <f>Z18*X36/(1+Diskonttaus!$B$8)^(Investointikustannus!$Z$7-Diskonttaus!$B$2)</f>
        <v>0</v>
      </c>
    </row>
    <row r="19" spans="2:27" x14ac:dyDescent="0.25">
      <c r="B19" t="s">
        <v>222</v>
      </c>
      <c r="C19" s="175"/>
      <c r="D19" s="145"/>
      <c r="E19" s="145"/>
      <c r="F19" s="145"/>
      <c r="G19" s="145"/>
      <c r="H19" s="145"/>
      <c r="I19" s="145"/>
      <c r="J19" s="145"/>
      <c r="K19" s="145"/>
      <c r="L19" s="172"/>
      <c r="N19" s="175"/>
      <c r="O19" s="145"/>
      <c r="P19" s="145"/>
      <c r="Q19" s="145"/>
      <c r="R19" s="145"/>
      <c r="S19" s="145"/>
      <c r="T19" s="145"/>
      <c r="U19" s="145"/>
      <c r="V19" s="145"/>
      <c r="W19" s="172"/>
      <c r="Y19" s="13"/>
      <c r="Z19" s="180"/>
      <c r="AA19" s="57">
        <f>Z19*X37/(1+Diskonttaus!$B$8)^(Investointikustannus!$Z$7-Diskonttaus!$B$2)</f>
        <v>0</v>
      </c>
    </row>
    <row r="20" spans="2:27" x14ac:dyDescent="0.25">
      <c r="B20" t="s">
        <v>223</v>
      </c>
      <c r="C20" s="175"/>
      <c r="D20" s="145"/>
      <c r="E20" s="145"/>
      <c r="F20" s="145"/>
      <c r="G20" s="145"/>
      <c r="H20" s="145"/>
      <c r="I20" s="145"/>
      <c r="J20" s="145"/>
      <c r="K20" s="145"/>
      <c r="L20" s="172"/>
      <c r="N20" s="175"/>
      <c r="O20" s="145"/>
      <c r="P20" s="145"/>
      <c r="Q20" s="145"/>
      <c r="R20" s="145"/>
      <c r="S20" s="145"/>
      <c r="T20" s="145"/>
      <c r="U20" s="145"/>
      <c r="V20" s="145"/>
      <c r="W20" s="172"/>
      <c r="Y20" s="13"/>
      <c r="Z20" s="180"/>
      <c r="AA20" s="57">
        <f>Z20*X38/(1+Diskonttaus!$B$8)^(Investointikustannus!$Z$7-Diskonttaus!$B$2)</f>
        <v>0</v>
      </c>
    </row>
    <row r="21" spans="2:27" x14ac:dyDescent="0.25">
      <c r="B21" t="s">
        <v>224</v>
      </c>
      <c r="C21" s="175"/>
      <c r="D21" s="145"/>
      <c r="E21" s="145"/>
      <c r="F21" s="145"/>
      <c r="G21" s="145"/>
      <c r="H21" s="145"/>
      <c r="I21" s="145"/>
      <c r="J21" s="145"/>
      <c r="K21" s="145"/>
      <c r="L21" s="172"/>
      <c r="N21" s="175"/>
      <c r="O21" s="145"/>
      <c r="P21" s="145"/>
      <c r="Q21" s="145"/>
      <c r="R21" s="145"/>
      <c r="S21" s="145"/>
      <c r="T21" s="145"/>
      <c r="U21" s="145"/>
      <c r="V21" s="145"/>
      <c r="W21" s="172"/>
      <c r="Y21" s="13"/>
      <c r="Z21" s="180"/>
      <c r="AA21" s="57">
        <f>Z21*X39/(1+Diskonttaus!$B$8)^(Investointikustannus!$Z$7-Diskonttaus!$B$2)</f>
        <v>0</v>
      </c>
    </row>
    <row r="22" spans="2:27" ht="15" customHeight="1" thickBot="1" x14ac:dyDescent="0.3">
      <c r="B22" t="s">
        <v>225</v>
      </c>
      <c r="C22" s="223"/>
      <c r="D22" s="170"/>
      <c r="E22" s="170"/>
      <c r="F22" s="170"/>
      <c r="G22" s="170"/>
      <c r="H22" s="170"/>
      <c r="I22" s="170"/>
      <c r="J22" s="170"/>
      <c r="K22" s="170"/>
      <c r="L22" s="171"/>
      <c r="N22" s="223"/>
      <c r="O22" s="170"/>
      <c r="P22" s="170"/>
      <c r="Q22" s="170"/>
      <c r="R22" s="170"/>
      <c r="S22" s="170"/>
      <c r="T22" s="170"/>
      <c r="U22" s="170"/>
      <c r="V22" s="170"/>
      <c r="W22" s="171"/>
      <c r="Y22" s="13"/>
      <c r="Z22" s="181"/>
      <c r="AA22" s="57">
        <f>Z22*X40/(1+Diskonttaus!$B$8)^(Investointikustannus!$Z$7-Diskonttaus!$B$2)</f>
        <v>0</v>
      </c>
    </row>
    <row r="23" spans="2:27" ht="18.600000000000001" customHeight="1" thickBot="1" x14ac:dyDescent="0.35">
      <c r="B23" t="s">
        <v>54</v>
      </c>
      <c r="C23">
        <f t="shared" ref="C23:L23" si="2">SUM(C9:C22)</f>
        <v>0</v>
      </c>
      <c r="D23">
        <f t="shared" si="2"/>
        <v>0</v>
      </c>
      <c r="E23">
        <f t="shared" si="2"/>
        <v>0</v>
      </c>
      <c r="F23">
        <f t="shared" si="2"/>
        <v>0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0</v>
      </c>
      <c r="K23">
        <f t="shared" si="2"/>
        <v>0</v>
      </c>
      <c r="L23">
        <f t="shared" si="2"/>
        <v>0</v>
      </c>
      <c r="N23">
        <f t="shared" ref="N23:W23" si="3">SUM(N9:N22)</f>
        <v>0</v>
      </c>
      <c r="O23">
        <f t="shared" si="3"/>
        <v>0</v>
      </c>
      <c r="P23">
        <f t="shared" si="3"/>
        <v>0</v>
      </c>
      <c r="Q23">
        <f t="shared" si="3"/>
        <v>0</v>
      </c>
      <c r="R23">
        <f t="shared" si="3"/>
        <v>0</v>
      </c>
      <c r="S23">
        <f t="shared" si="3"/>
        <v>0</v>
      </c>
      <c r="T23">
        <f t="shared" si="3"/>
        <v>0</v>
      </c>
      <c r="U23">
        <f t="shared" si="3"/>
        <v>0</v>
      </c>
      <c r="V23">
        <f t="shared" si="3"/>
        <v>0</v>
      </c>
      <c r="W23">
        <f t="shared" si="3"/>
        <v>0</v>
      </c>
      <c r="X23" s="13">
        <f>SUM(C23:W23)</f>
        <v>0</v>
      </c>
      <c r="AA23" s="147">
        <f>SUM(AA9:AA22)</f>
        <v>0</v>
      </c>
    </row>
    <row r="26" spans="2:27" x14ac:dyDescent="0.25">
      <c r="B26" t="s">
        <v>226</v>
      </c>
    </row>
    <row r="27" spans="2:27" x14ac:dyDescent="0.25">
      <c r="B27" t="s">
        <v>212</v>
      </c>
      <c r="C27" s="16">
        <f>C9/(1+Diskonttaus!$B$8)^(Investointikustannus!C$8-Diskonttaus!$B$2)</f>
        <v>0</v>
      </c>
      <c r="D27" s="16">
        <f>D9/(1+Diskonttaus!$B$8)^(Investointikustannus!D$8-Diskonttaus!$B$2)</f>
        <v>0</v>
      </c>
      <c r="E27" s="16">
        <f>E9/(1+Diskonttaus!$B$8)^(Investointikustannus!E$8-Diskonttaus!$B$2)</f>
        <v>0</v>
      </c>
      <c r="F27" s="16">
        <f>F9/(1+Diskonttaus!$B$8)^(Investointikustannus!F$8-Diskonttaus!$B$2)</f>
        <v>0</v>
      </c>
      <c r="G27" s="16">
        <f>G9/(1+Diskonttaus!$B$8)^(Investointikustannus!G$8-Diskonttaus!$B$2)</f>
        <v>0</v>
      </c>
      <c r="H27" s="16">
        <f>H9/(1+Diskonttaus!$B$8)^(Investointikustannus!H$8-Diskonttaus!$B$2)</f>
        <v>0</v>
      </c>
      <c r="I27" s="16">
        <f>I9/(1+Diskonttaus!$B$8)^(Investointikustannus!I$8-Diskonttaus!$B$2)</f>
        <v>0</v>
      </c>
      <c r="J27" s="16">
        <f>J9/(1+Diskonttaus!$B$8)^(Investointikustannus!J$8-Diskonttaus!$B$2)</f>
        <v>0</v>
      </c>
      <c r="K27" s="16">
        <f>K9/(1+Diskonttaus!$B$8)^(Investointikustannus!K$8-Diskonttaus!$B$2)</f>
        <v>0</v>
      </c>
      <c r="L27" s="5">
        <f>L9/(1+Diskonttaus!$B$8)^(Investointikustannus!L$8-Diskonttaus!$B$2)</f>
        <v>0</v>
      </c>
      <c r="N27" s="16">
        <f>N9/(1+Diskonttaus!$B$8)^(Investointikustannus!N$8-Diskonttaus!$B$2)</f>
        <v>0</v>
      </c>
      <c r="O27" s="16">
        <f>O9/(1+Diskonttaus!$B$8)^(Investointikustannus!O$8-Diskonttaus!$B$2)</f>
        <v>0</v>
      </c>
      <c r="P27" s="16">
        <f>P9/(1+Diskonttaus!$B$8)^(Investointikustannus!P$8-Diskonttaus!$B$2)</f>
        <v>0</v>
      </c>
      <c r="Q27" s="16">
        <f>Q9/(1+Diskonttaus!$B$8)^(Investointikustannus!Q$8-Diskonttaus!$B$2)</f>
        <v>0</v>
      </c>
      <c r="R27" s="16">
        <f>R9/(1+Diskonttaus!$B$8)^(Investointikustannus!R$8-Diskonttaus!$B$2)</f>
        <v>0</v>
      </c>
      <c r="S27" s="16">
        <f>S9/(1+Diskonttaus!$B$8)^(Investointikustannus!S$8-Diskonttaus!$B$2)</f>
        <v>0</v>
      </c>
      <c r="T27" s="16">
        <f>T9/(1+Diskonttaus!$B$8)^(Investointikustannus!T$8-Diskonttaus!$B$2)</f>
        <v>0</v>
      </c>
      <c r="U27" s="16">
        <f>U9/(1+Diskonttaus!$B$8)^(Investointikustannus!U$8-Diskonttaus!$B$2)</f>
        <v>0</v>
      </c>
      <c r="V27" s="16">
        <f>V9/(1+Diskonttaus!$B$8)^(Investointikustannus!V$8-Diskonttaus!$B$2)</f>
        <v>0</v>
      </c>
      <c r="W27" s="5">
        <f>W9/(1+Diskonttaus!$B$8)^(Investointikustannus!W$8-Diskonttaus!$B$2)</f>
        <v>0</v>
      </c>
      <c r="X27" s="13">
        <f t="shared" ref="X27:X40" si="4">SUM(C27:W27)</f>
        <v>0</v>
      </c>
    </row>
    <row r="28" spans="2:27" x14ac:dyDescent="0.25">
      <c r="B28" t="s">
        <v>213</v>
      </c>
      <c r="C28" s="16">
        <f>C10/(1+Diskonttaus!$B$8)^(Investointikustannus!C$8-Diskonttaus!$B$2)</f>
        <v>0</v>
      </c>
      <c r="D28" s="16">
        <f>D10/(1+Diskonttaus!$B$8)^(Investointikustannus!D$8-Diskonttaus!$B$2)</f>
        <v>0</v>
      </c>
      <c r="E28" s="16">
        <f>E10/(1+Diskonttaus!$B$8)^(Investointikustannus!E$8-Diskonttaus!$B$2)</f>
        <v>0</v>
      </c>
      <c r="F28" s="16">
        <f>F10/(1+Diskonttaus!$B$8)^(Investointikustannus!F$8-Diskonttaus!$B$2)</f>
        <v>0</v>
      </c>
      <c r="G28" s="16">
        <f>G10/(1+Diskonttaus!$B$8)^(Investointikustannus!G$8-Diskonttaus!$B$2)</f>
        <v>0</v>
      </c>
      <c r="H28" s="16">
        <f>H10/(1+Diskonttaus!$B$8)^(Investointikustannus!H$8-Diskonttaus!$B$2)</f>
        <v>0</v>
      </c>
      <c r="I28" s="16">
        <f>I10/(1+Diskonttaus!$B$8)^(Investointikustannus!I$8-Diskonttaus!$B$2)</f>
        <v>0</v>
      </c>
      <c r="J28" s="16">
        <f>J10/(1+Diskonttaus!$B$8)^(Investointikustannus!J$8-Diskonttaus!$B$2)</f>
        <v>0</v>
      </c>
      <c r="K28" s="16">
        <f>K10/(1+Diskonttaus!$B$8)^(Investointikustannus!K$8-Diskonttaus!$B$2)</f>
        <v>0</v>
      </c>
      <c r="L28" s="5">
        <f>L10/(1+Diskonttaus!$B$8)^(Investointikustannus!L$8-Diskonttaus!$B$2)</f>
        <v>0</v>
      </c>
      <c r="N28" s="16">
        <f>N10/(1+Diskonttaus!$B$8)^(Investointikustannus!N$8-Diskonttaus!$B$2)</f>
        <v>0</v>
      </c>
      <c r="O28" s="16">
        <f>O10/(1+Diskonttaus!$B$8)^(Investointikustannus!O$8-Diskonttaus!$B$2)</f>
        <v>0</v>
      </c>
      <c r="P28" s="16">
        <f>P10/(1+Diskonttaus!$B$8)^(Investointikustannus!P$8-Diskonttaus!$B$2)</f>
        <v>0</v>
      </c>
      <c r="Q28" s="16">
        <f>Q10/(1+Diskonttaus!$B$8)^(Investointikustannus!Q$8-Diskonttaus!$B$2)</f>
        <v>0</v>
      </c>
      <c r="R28" s="16">
        <f>R10/(1+Diskonttaus!$B$8)^(Investointikustannus!R$8-Diskonttaus!$B$2)</f>
        <v>0</v>
      </c>
      <c r="S28" s="16">
        <f>S10/(1+Diskonttaus!$B$8)^(Investointikustannus!S$8-Diskonttaus!$B$2)</f>
        <v>0</v>
      </c>
      <c r="T28" s="16">
        <f>T10/(1+Diskonttaus!$B$8)^(Investointikustannus!T$8-Diskonttaus!$B$2)</f>
        <v>0</v>
      </c>
      <c r="U28" s="16">
        <f>U10/(1+Diskonttaus!$B$8)^(Investointikustannus!U$8-Diskonttaus!$B$2)</f>
        <v>0</v>
      </c>
      <c r="V28" s="16">
        <f>V10/(1+Diskonttaus!$B$8)^(Investointikustannus!V$8-Diskonttaus!$B$2)</f>
        <v>0</v>
      </c>
      <c r="W28" s="5">
        <f>W10/(1+Diskonttaus!$B$8)^(Investointikustannus!W$8-Diskonttaus!$B$2)</f>
        <v>0</v>
      </c>
      <c r="X28" s="13">
        <f t="shared" si="4"/>
        <v>0</v>
      </c>
    </row>
    <row r="29" spans="2:27" x14ac:dyDescent="0.25">
      <c r="B29" t="s">
        <v>214</v>
      </c>
      <c r="C29" s="16">
        <f>C11/(1+Diskonttaus!$B$8)^(Investointikustannus!C$8-Diskonttaus!$B$2)</f>
        <v>0</v>
      </c>
      <c r="D29" s="16">
        <f>D11/(1+Diskonttaus!$B$8)^(Investointikustannus!D$8-Diskonttaus!$B$2)</f>
        <v>0</v>
      </c>
      <c r="E29" s="16">
        <f>E11/(1+Diskonttaus!$B$8)^(Investointikustannus!E$8-Diskonttaus!$B$2)</f>
        <v>0</v>
      </c>
      <c r="F29" s="16">
        <f>F11/(1+Diskonttaus!$B$8)^(Investointikustannus!F$8-Diskonttaus!$B$2)</f>
        <v>0</v>
      </c>
      <c r="G29" s="16">
        <f>G11/(1+Diskonttaus!$B$8)^(Investointikustannus!G$8-Diskonttaus!$B$2)</f>
        <v>0</v>
      </c>
      <c r="H29" s="16">
        <f>H11/(1+Diskonttaus!$B$8)^(Investointikustannus!H$8-Diskonttaus!$B$2)</f>
        <v>0</v>
      </c>
      <c r="I29" s="16">
        <f>I11/(1+Diskonttaus!$B$8)^(Investointikustannus!I$8-Diskonttaus!$B$2)</f>
        <v>0</v>
      </c>
      <c r="J29" s="16">
        <f>J11/(1+Diskonttaus!$B$8)^(Investointikustannus!J$8-Diskonttaus!$B$2)</f>
        <v>0</v>
      </c>
      <c r="K29" s="16">
        <f>K11/(1+Diskonttaus!$B$8)^(Investointikustannus!K$8-Diskonttaus!$B$2)</f>
        <v>0</v>
      </c>
      <c r="L29" s="5">
        <f>L11/(1+Diskonttaus!$B$8)^(Investointikustannus!L$8-Diskonttaus!$B$2)</f>
        <v>0</v>
      </c>
      <c r="N29" s="16">
        <f>N11/(1+Diskonttaus!$B$8)^(Investointikustannus!N$8-Diskonttaus!$B$2)</f>
        <v>0</v>
      </c>
      <c r="O29" s="16">
        <f>O11/(1+Diskonttaus!$B$8)^(Investointikustannus!O$8-Diskonttaus!$B$2)</f>
        <v>0</v>
      </c>
      <c r="P29" s="16">
        <f>P11/(1+Diskonttaus!$B$8)^(Investointikustannus!P$8-Diskonttaus!$B$2)</f>
        <v>0</v>
      </c>
      <c r="Q29" s="16">
        <f>Q11/(1+Diskonttaus!$B$8)^(Investointikustannus!Q$8-Diskonttaus!$B$2)</f>
        <v>0</v>
      </c>
      <c r="R29" s="16">
        <f>R11/(1+Diskonttaus!$B$8)^(Investointikustannus!R$8-Diskonttaus!$B$2)</f>
        <v>0</v>
      </c>
      <c r="S29" s="16">
        <f>S11/(1+Diskonttaus!$B$8)^(Investointikustannus!S$8-Diskonttaus!$B$2)</f>
        <v>0</v>
      </c>
      <c r="T29" s="16">
        <f>T11/(1+Diskonttaus!$B$8)^(Investointikustannus!T$8-Diskonttaus!$B$2)</f>
        <v>0</v>
      </c>
      <c r="U29" s="16">
        <f>U11/(1+Diskonttaus!$B$8)^(Investointikustannus!U$8-Diskonttaus!$B$2)</f>
        <v>0</v>
      </c>
      <c r="V29" s="16">
        <f>V11/(1+Diskonttaus!$B$8)^(Investointikustannus!V$8-Diskonttaus!$B$2)</f>
        <v>0</v>
      </c>
      <c r="W29" s="5">
        <f>W11/(1+Diskonttaus!$B$8)^(Investointikustannus!W$8-Diskonttaus!$B$2)</f>
        <v>0</v>
      </c>
      <c r="X29" s="13">
        <f t="shared" si="4"/>
        <v>0</v>
      </c>
    </row>
    <row r="30" spans="2:27" x14ac:dyDescent="0.25">
      <c r="B30" t="s">
        <v>215</v>
      </c>
      <c r="C30" s="16">
        <f>C12/(1+Diskonttaus!$B$8)^(Investointikustannus!C$8-Diskonttaus!$B$2)</f>
        <v>0</v>
      </c>
      <c r="D30" s="16">
        <f>D12/(1+Diskonttaus!$B$8)^(Investointikustannus!D$8-Diskonttaus!$B$2)</f>
        <v>0</v>
      </c>
      <c r="E30" s="16">
        <f>E12/(1+Diskonttaus!$B$8)^(Investointikustannus!E$8-Diskonttaus!$B$2)</f>
        <v>0</v>
      </c>
      <c r="F30" s="16">
        <f>F12/(1+Diskonttaus!$B$8)^(Investointikustannus!F$8-Diskonttaus!$B$2)</f>
        <v>0</v>
      </c>
      <c r="G30" s="16">
        <f>G12/(1+Diskonttaus!$B$8)^(Investointikustannus!G$8-Diskonttaus!$B$2)</f>
        <v>0</v>
      </c>
      <c r="H30" s="16">
        <f>H12/(1+Diskonttaus!$B$8)^(Investointikustannus!H$8-Diskonttaus!$B$2)</f>
        <v>0</v>
      </c>
      <c r="I30" s="16">
        <f>I12/(1+Diskonttaus!$B$8)^(Investointikustannus!I$8-Diskonttaus!$B$2)</f>
        <v>0</v>
      </c>
      <c r="J30" s="16">
        <f>J12/(1+Diskonttaus!$B$8)^(Investointikustannus!J$8-Diskonttaus!$B$2)</f>
        <v>0</v>
      </c>
      <c r="K30" s="16">
        <f>K12/(1+Diskonttaus!$B$8)^(Investointikustannus!K$8-Diskonttaus!$B$2)</f>
        <v>0</v>
      </c>
      <c r="L30" s="5">
        <f>L12/(1+Diskonttaus!$B$8)^(Investointikustannus!L$8-Diskonttaus!$B$2)</f>
        <v>0</v>
      </c>
      <c r="N30" s="16">
        <f>N12/(1+Diskonttaus!$B$8)^(Investointikustannus!N$8-Diskonttaus!$B$2)</f>
        <v>0</v>
      </c>
      <c r="O30" s="16">
        <f>O12/(1+Diskonttaus!$B$8)^(Investointikustannus!O$8-Diskonttaus!$B$2)</f>
        <v>0</v>
      </c>
      <c r="P30" s="16">
        <f>P12/(1+Diskonttaus!$B$8)^(Investointikustannus!P$8-Diskonttaus!$B$2)</f>
        <v>0</v>
      </c>
      <c r="Q30" s="16">
        <f>Q12/(1+Diskonttaus!$B$8)^(Investointikustannus!Q$8-Diskonttaus!$B$2)</f>
        <v>0</v>
      </c>
      <c r="R30" s="16">
        <f>R12/(1+Diskonttaus!$B$8)^(Investointikustannus!R$8-Diskonttaus!$B$2)</f>
        <v>0</v>
      </c>
      <c r="S30" s="16">
        <f>S12/(1+Diskonttaus!$B$8)^(Investointikustannus!S$8-Diskonttaus!$B$2)</f>
        <v>0</v>
      </c>
      <c r="T30" s="16">
        <f>T12/(1+Diskonttaus!$B$8)^(Investointikustannus!T$8-Diskonttaus!$B$2)</f>
        <v>0</v>
      </c>
      <c r="U30" s="16">
        <f>U12/(1+Diskonttaus!$B$8)^(Investointikustannus!U$8-Diskonttaus!$B$2)</f>
        <v>0</v>
      </c>
      <c r="V30" s="16">
        <f>V12/(1+Diskonttaus!$B$8)^(Investointikustannus!V$8-Diskonttaus!$B$2)</f>
        <v>0</v>
      </c>
      <c r="W30" s="5">
        <f>W12/(1+Diskonttaus!$B$8)^(Investointikustannus!W$8-Diskonttaus!$B$2)</f>
        <v>0</v>
      </c>
      <c r="X30" s="13">
        <f t="shared" si="4"/>
        <v>0</v>
      </c>
    </row>
    <row r="31" spans="2:27" x14ac:dyDescent="0.25">
      <c r="B31" t="s">
        <v>216</v>
      </c>
      <c r="C31" s="16">
        <f>C13/(1+Diskonttaus!$B$8)^(Investointikustannus!C$8-Diskonttaus!$B$2)</f>
        <v>0</v>
      </c>
      <c r="D31" s="16">
        <f>D13/(1+Diskonttaus!$B$8)^(Investointikustannus!D$8-Diskonttaus!$B$2)</f>
        <v>0</v>
      </c>
      <c r="E31" s="16">
        <f>E13/(1+Diskonttaus!$B$8)^(Investointikustannus!E$8-Diskonttaus!$B$2)</f>
        <v>0</v>
      </c>
      <c r="F31" s="16">
        <f>F13/(1+Diskonttaus!$B$8)^(Investointikustannus!F$8-Diskonttaus!$B$2)</f>
        <v>0</v>
      </c>
      <c r="G31" s="16">
        <f>G13/(1+Diskonttaus!$B$8)^(Investointikustannus!G$8-Diskonttaus!$B$2)</f>
        <v>0</v>
      </c>
      <c r="H31" s="16">
        <f>H13/(1+Diskonttaus!$B$8)^(Investointikustannus!H$8-Diskonttaus!$B$2)</f>
        <v>0</v>
      </c>
      <c r="I31" s="16">
        <f>I13/(1+Diskonttaus!$B$8)^(Investointikustannus!I$8-Diskonttaus!$B$2)</f>
        <v>0</v>
      </c>
      <c r="J31" s="16">
        <f>J13/(1+Diskonttaus!$B$8)^(Investointikustannus!J$8-Diskonttaus!$B$2)</f>
        <v>0</v>
      </c>
      <c r="K31" s="16">
        <f>K13/(1+Diskonttaus!$B$8)^(Investointikustannus!K$8-Diskonttaus!$B$2)</f>
        <v>0</v>
      </c>
      <c r="L31" s="5">
        <f>L13/(1+Diskonttaus!$B$8)^(Investointikustannus!L$8-Diskonttaus!$B$2)</f>
        <v>0</v>
      </c>
      <c r="N31" s="16">
        <f>N13/(1+Diskonttaus!$B$8)^(Investointikustannus!N$8-Diskonttaus!$B$2)</f>
        <v>0</v>
      </c>
      <c r="O31" s="16">
        <f>O13/(1+Diskonttaus!$B$8)^(Investointikustannus!O$8-Diskonttaus!$B$2)</f>
        <v>0</v>
      </c>
      <c r="P31" s="16">
        <f>P13/(1+Diskonttaus!$B$8)^(Investointikustannus!P$8-Diskonttaus!$B$2)</f>
        <v>0</v>
      </c>
      <c r="Q31" s="16">
        <f>Q13/(1+Diskonttaus!$B$8)^(Investointikustannus!Q$8-Diskonttaus!$B$2)</f>
        <v>0</v>
      </c>
      <c r="R31" s="16">
        <f>R13/(1+Diskonttaus!$B$8)^(Investointikustannus!R$8-Diskonttaus!$B$2)</f>
        <v>0</v>
      </c>
      <c r="S31" s="16">
        <f>S13/(1+Diskonttaus!$B$8)^(Investointikustannus!S$8-Diskonttaus!$B$2)</f>
        <v>0</v>
      </c>
      <c r="T31" s="16">
        <f>T13/(1+Diskonttaus!$B$8)^(Investointikustannus!T$8-Diskonttaus!$B$2)</f>
        <v>0</v>
      </c>
      <c r="U31" s="16">
        <f>U13/(1+Diskonttaus!$B$8)^(Investointikustannus!U$8-Diskonttaus!$B$2)</f>
        <v>0</v>
      </c>
      <c r="V31" s="16">
        <f>V13/(1+Diskonttaus!$B$8)^(Investointikustannus!V$8-Diskonttaus!$B$2)</f>
        <v>0</v>
      </c>
      <c r="W31" s="5">
        <f>W13/(1+Diskonttaus!$B$8)^(Investointikustannus!W$8-Diskonttaus!$B$2)</f>
        <v>0</v>
      </c>
      <c r="X31" s="13">
        <f t="shared" si="4"/>
        <v>0</v>
      </c>
    </row>
    <row r="32" spans="2:27" x14ac:dyDescent="0.25">
      <c r="B32" t="s">
        <v>217</v>
      </c>
      <c r="C32" s="16">
        <f>C14/(1+Diskonttaus!$B$8)^(Investointikustannus!C$8-Diskonttaus!$B$2)</f>
        <v>0</v>
      </c>
      <c r="D32" s="16">
        <f>D14/(1+Diskonttaus!$B$8)^(Investointikustannus!D$8-Diskonttaus!$B$2)</f>
        <v>0</v>
      </c>
      <c r="E32" s="16">
        <f>E14/(1+Diskonttaus!$B$8)^(Investointikustannus!E$8-Diskonttaus!$B$2)</f>
        <v>0</v>
      </c>
      <c r="F32" s="16">
        <f>F14/(1+Diskonttaus!$B$8)^(Investointikustannus!F$8-Diskonttaus!$B$2)</f>
        <v>0</v>
      </c>
      <c r="G32" s="16">
        <f>G14/(1+Diskonttaus!$B$8)^(Investointikustannus!G$8-Diskonttaus!$B$2)</f>
        <v>0</v>
      </c>
      <c r="H32" s="16">
        <f>H14/(1+Diskonttaus!$B$8)^(Investointikustannus!H$8-Diskonttaus!$B$2)</f>
        <v>0</v>
      </c>
      <c r="I32" s="16">
        <f>I14/(1+Diskonttaus!$B$8)^(Investointikustannus!I$8-Diskonttaus!$B$2)</f>
        <v>0</v>
      </c>
      <c r="J32" s="16">
        <f>J14/(1+Diskonttaus!$B$8)^(Investointikustannus!J$8-Diskonttaus!$B$2)</f>
        <v>0</v>
      </c>
      <c r="K32" s="16">
        <f>K14/(1+Diskonttaus!$B$8)^(Investointikustannus!K$8-Diskonttaus!$B$2)</f>
        <v>0</v>
      </c>
      <c r="L32" s="5">
        <f>L14/(1+Diskonttaus!$B$8)^(Investointikustannus!L$8-Diskonttaus!$B$2)</f>
        <v>0</v>
      </c>
      <c r="N32" s="16">
        <f>N14/(1+Diskonttaus!$B$8)^(Investointikustannus!N$8-Diskonttaus!$B$2)</f>
        <v>0</v>
      </c>
      <c r="O32" s="16">
        <f>O14/(1+Diskonttaus!$B$8)^(Investointikustannus!O$8-Diskonttaus!$B$2)</f>
        <v>0</v>
      </c>
      <c r="P32" s="16">
        <f>P14/(1+Diskonttaus!$B$8)^(Investointikustannus!P$8-Diskonttaus!$B$2)</f>
        <v>0</v>
      </c>
      <c r="Q32" s="16">
        <f>Q14/(1+Diskonttaus!$B$8)^(Investointikustannus!Q$8-Diskonttaus!$B$2)</f>
        <v>0</v>
      </c>
      <c r="R32" s="16">
        <f>R14/(1+Diskonttaus!$B$8)^(Investointikustannus!R$8-Diskonttaus!$B$2)</f>
        <v>0</v>
      </c>
      <c r="S32" s="16">
        <f>S14/(1+Diskonttaus!$B$8)^(Investointikustannus!S$8-Diskonttaus!$B$2)</f>
        <v>0</v>
      </c>
      <c r="T32" s="16">
        <f>T14/(1+Diskonttaus!$B$8)^(Investointikustannus!T$8-Diskonttaus!$B$2)</f>
        <v>0</v>
      </c>
      <c r="U32" s="16">
        <f>U14/(1+Diskonttaus!$B$8)^(Investointikustannus!U$8-Diskonttaus!$B$2)</f>
        <v>0</v>
      </c>
      <c r="V32" s="16">
        <f>V14/(1+Diskonttaus!$B$8)^(Investointikustannus!V$8-Diskonttaus!$B$2)</f>
        <v>0</v>
      </c>
      <c r="W32" s="5">
        <f>W14/(1+Diskonttaus!$B$8)^(Investointikustannus!W$8-Diskonttaus!$B$2)</f>
        <v>0</v>
      </c>
      <c r="X32" s="13">
        <f t="shared" si="4"/>
        <v>0</v>
      </c>
    </row>
    <row r="33" spans="2:24" x14ac:dyDescent="0.25">
      <c r="B33" t="s">
        <v>218</v>
      </c>
      <c r="C33" s="16">
        <f>C15/(1+Diskonttaus!$B$8)^(Investointikustannus!C$8-Diskonttaus!$B$2)</f>
        <v>0</v>
      </c>
      <c r="D33" s="16">
        <f>D15/(1+Diskonttaus!$B$8)^(Investointikustannus!D$8-Diskonttaus!$B$2)</f>
        <v>0</v>
      </c>
      <c r="E33" s="16">
        <f>E15/(1+Diskonttaus!$B$8)^(Investointikustannus!E$8-Diskonttaus!$B$2)</f>
        <v>0</v>
      </c>
      <c r="F33" s="16">
        <f>F15/(1+Diskonttaus!$B$8)^(Investointikustannus!F$8-Diskonttaus!$B$2)</f>
        <v>0</v>
      </c>
      <c r="G33" s="16">
        <f>G15/(1+Diskonttaus!$B$8)^(Investointikustannus!G$8-Diskonttaus!$B$2)</f>
        <v>0</v>
      </c>
      <c r="H33" s="16">
        <f>H15/(1+Diskonttaus!$B$8)^(Investointikustannus!H$8-Diskonttaus!$B$2)</f>
        <v>0</v>
      </c>
      <c r="I33" s="16">
        <f>I15/(1+Diskonttaus!$B$8)^(Investointikustannus!I$8-Diskonttaus!$B$2)</f>
        <v>0</v>
      </c>
      <c r="J33" s="16">
        <f>J15/(1+Diskonttaus!$B$8)^(Investointikustannus!J$8-Diskonttaus!$B$2)</f>
        <v>0</v>
      </c>
      <c r="K33" s="16">
        <f>K15/(1+Diskonttaus!$B$8)^(Investointikustannus!K$8-Diskonttaus!$B$2)</f>
        <v>0</v>
      </c>
      <c r="L33" s="5">
        <f>L15/(1+Diskonttaus!$B$8)^(Investointikustannus!L$8-Diskonttaus!$B$2)</f>
        <v>0</v>
      </c>
      <c r="N33" s="16">
        <f>N15/(1+Diskonttaus!$B$8)^(Investointikustannus!N$8-Diskonttaus!$B$2)</f>
        <v>0</v>
      </c>
      <c r="O33" s="16">
        <f>O15/(1+Diskonttaus!$B$8)^(Investointikustannus!O$8-Diskonttaus!$B$2)</f>
        <v>0</v>
      </c>
      <c r="P33" s="16">
        <f>P15/(1+Diskonttaus!$B$8)^(Investointikustannus!P$8-Diskonttaus!$B$2)</f>
        <v>0</v>
      </c>
      <c r="Q33" s="16">
        <f>Q15/(1+Diskonttaus!$B$8)^(Investointikustannus!Q$8-Diskonttaus!$B$2)</f>
        <v>0</v>
      </c>
      <c r="R33" s="16">
        <f>R15/(1+Diskonttaus!$B$8)^(Investointikustannus!R$8-Diskonttaus!$B$2)</f>
        <v>0</v>
      </c>
      <c r="S33" s="16">
        <f>S15/(1+Diskonttaus!$B$8)^(Investointikustannus!S$8-Diskonttaus!$B$2)</f>
        <v>0</v>
      </c>
      <c r="T33" s="16">
        <f>T15/(1+Diskonttaus!$B$8)^(Investointikustannus!T$8-Diskonttaus!$B$2)</f>
        <v>0</v>
      </c>
      <c r="U33" s="16">
        <f>U15/(1+Diskonttaus!$B$8)^(Investointikustannus!U$8-Diskonttaus!$B$2)</f>
        <v>0</v>
      </c>
      <c r="V33" s="16">
        <f>V15/(1+Diskonttaus!$B$8)^(Investointikustannus!V$8-Diskonttaus!$B$2)</f>
        <v>0</v>
      </c>
      <c r="W33" s="5">
        <f>W15/(1+Diskonttaus!$B$8)^(Investointikustannus!W$8-Diskonttaus!$B$2)</f>
        <v>0</v>
      </c>
      <c r="X33" s="13">
        <f t="shared" si="4"/>
        <v>0</v>
      </c>
    </row>
    <row r="34" spans="2:24" x14ac:dyDescent="0.25">
      <c r="B34" t="s">
        <v>219</v>
      </c>
      <c r="C34" s="16">
        <f>C16/(1+Diskonttaus!$B$8)^(Investointikustannus!C$8-Diskonttaus!$B$2)</f>
        <v>0</v>
      </c>
      <c r="D34" s="16">
        <f>D16/(1+Diskonttaus!$B$8)^(Investointikustannus!D$8-Diskonttaus!$B$2)</f>
        <v>0</v>
      </c>
      <c r="E34" s="16">
        <f>E16/(1+Diskonttaus!$B$8)^(Investointikustannus!E$8-Diskonttaus!$B$2)</f>
        <v>0</v>
      </c>
      <c r="F34" s="16">
        <f>F16/(1+Diskonttaus!$B$8)^(Investointikustannus!F$8-Diskonttaus!$B$2)</f>
        <v>0</v>
      </c>
      <c r="G34" s="16">
        <f>G16/(1+Diskonttaus!$B$8)^(Investointikustannus!G$8-Diskonttaus!$B$2)</f>
        <v>0</v>
      </c>
      <c r="H34" s="16">
        <f>H16/(1+Diskonttaus!$B$8)^(Investointikustannus!H$8-Diskonttaus!$B$2)</f>
        <v>0</v>
      </c>
      <c r="I34" s="16">
        <f>I16/(1+Diskonttaus!$B$8)^(Investointikustannus!I$8-Diskonttaus!$B$2)</f>
        <v>0</v>
      </c>
      <c r="J34" s="16">
        <f>J16/(1+Diskonttaus!$B$8)^(Investointikustannus!J$8-Diskonttaus!$B$2)</f>
        <v>0</v>
      </c>
      <c r="K34" s="16">
        <f>K16/(1+Diskonttaus!$B$8)^(Investointikustannus!K$8-Diskonttaus!$B$2)</f>
        <v>0</v>
      </c>
      <c r="L34" s="5">
        <f>L16/(1+Diskonttaus!$B$8)^(Investointikustannus!L$8-Diskonttaus!$B$2)</f>
        <v>0</v>
      </c>
      <c r="N34" s="16">
        <f>N16/(1+Diskonttaus!$B$8)^(Investointikustannus!N$8-Diskonttaus!$B$2)</f>
        <v>0</v>
      </c>
      <c r="O34" s="16">
        <f>O16/(1+Diskonttaus!$B$8)^(Investointikustannus!O$8-Diskonttaus!$B$2)</f>
        <v>0</v>
      </c>
      <c r="P34" s="16">
        <f>P16/(1+Diskonttaus!$B$8)^(Investointikustannus!P$8-Diskonttaus!$B$2)</f>
        <v>0</v>
      </c>
      <c r="Q34" s="16">
        <f>Q16/(1+Diskonttaus!$B$8)^(Investointikustannus!Q$8-Diskonttaus!$B$2)</f>
        <v>0</v>
      </c>
      <c r="R34" s="16">
        <f>R16/(1+Diskonttaus!$B$8)^(Investointikustannus!R$8-Diskonttaus!$B$2)</f>
        <v>0</v>
      </c>
      <c r="S34" s="16">
        <f>S16/(1+Diskonttaus!$B$8)^(Investointikustannus!S$8-Diskonttaus!$B$2)</f>
        <v>0</v>
      </c>
      <c r="T34" s="16">
        <f>T16/(1+Diskonttaus!$B$8)^(Investointikustannus!T$8-Diskonttaus!$B$2)</f>
        <v>0</v>
      </c>
      <c r="U34" s="16">
        <f>U16/(1+Diskonttaus!$B$8)^(Investointikustannus!U$8-Diskonttaus!$B$2)</f>
        <v>0</v>
      </c>
      <c r="V34" s="16">
        <f>V16/(1+Diskonttaus!$B$8)^(Investointikustannus!V$8-Diskonttaus!$B$2)</f>
        <v>0</v>
      </c>
      <c r="W34" s="5">
        <f>W16/(1+Diskonttaus!$B$8)^(Investointikustannus!W$8-Diskonttaus!$B$2)</f>
        <v>0</v>
      </c>
      <c r="X34" s="13">
        <f t="shared" si="4"/>
        <v>0</v>
      </c>
    </row>
    <row r="35" spans="2:24" x14ac:dyDescent="0.25">
      <c r="B35" t="s">
        <v>220</v>
      </c>
      <c r="C35" s="16">
        <f>C17/(1+Diskonttaus!$B$8)^(Investointikustannus!C$8-Diskonttaus!$B$2)</f>
        <v>0</v>
      </c>
      <c r="D35" s="16">
        <f>D17/(1+Diskonttaus!$B$8)^(Investointikustannus!D$8-Diskonttaus!$B$2)</f>
        <v>0</v>
      </c>
      <c r="E35" s="16">
        <f>E17/(1+Diskonttaus!$B$8)^(Investointikustannus!E$8-Diskonttaus!$B$2)</f>
        <v>0</v>
      </c>
      <c r="F35" s="16">
        <f>F17/(1+Diskonttaus!$B$8)^(Investointikustannus!F$8-Diskonttaus!$B$2)</f>
        <v>0</v>
      </c>
      <c r="G35" s="16">
        <f>G17/(1+Diskonttaus!$B$8)^(Investointikustannus!G$8-Diskonttaus!$B$2)</f>
        <v>0</v>
      </c>
      <c r="H35" s="16">
        <f>H17/(1+Diskonttaus!$B$8)^(Investointikustannus!H$8-Diskonttaus!$B$2)</f>
        <v>0</v>
      </c>
      <c r="I35" s="16">
        <f>I17/(1+Diskonttaus!$B$8)^(Investointikustannus!I$8-Diskonttaus!$B$2)</f>
        <v>0</v>
      </c>
      <c r="J35" s="16">
        <f>J17/(1+Diskonttaus!$B$8)^(Investointikustannus!J$8-Diskonttaus!$B$2)</f>
        <v>0</v>
      </c>
      <c r="K35" s="16">
        <f>K17/(1+Diskonttaus!$B$8)^(Investointikustannus!K$8-Diskonttaus!$B$2)</f>
        <v>0</v>
      </c>
      <c r="L35" s="5">
        <f>L17/(1+Diskonttaus!$B$8)^(Investointikustannus!L$8-Diskonttaus!$B$2)</f>
        <v>0</v>
      </c>
      <c r="N35" s="16">
        <f>N17/(1+Diskonttaus!$B$8)^(Investointikustannus!N$8-Diskonttaus!$B$2)</f>
        <v>0</v>
      </c>
      <c r="O35" s="16">
        <f>O17/(1+Diskonttaus!$B$8)^(Investointikustannus!O$8-Diskonttaus!$B$2)</f>
        <v>0</v>
      </c>
      <c r="P35" s="16">
        <f>P17/(1+Diskonttaus!$B$8)^(Investointikustannus!P$8-Diskonttaus!$B$2)</f>
        <v>0</v>
      </c>
      <c r="Q35" s="16">
        <f>Q17/(1+Diskonttaus!$B$8)^(Investointikustannus!Q$8-Diskonttaus!$B$2)</f>
        <v>0</v>
      </c>
      <c r="R35" s="16">
        <f>R17/(1+Diskonttaus!$B$8)^(Investointikustannus!R$8-Diskonttaus!$B$2)</f>
        <v>0</v>
      </c>
      <c r="S35" s="16">
        <f>S17/(1+Diskonttaus!$B$8)^(Investointikustannus!S$8-Diskonttaus!$B$2)</f>
        <v>0</v>
      </c>
      <c r="T35" s="16">
        <f>T17/(1+Diskonttaus!$B$8)^(Investointikustannus!T$8-Diskonttaus!$B$2)</f>
        <v>0</v>
      </c>
      <c r="U35" s="16">
        <f>U17/(1+Diskonttaus!$B$8)^(Investointikustannus!U$8-Diskonttaus!$B$2)</f>
        <v>0</v>
      </c>
      <c r="V35" s="16">
        <f>V17/(1+Diskonttaus!$B$8)^(Investointikustannus!V$8-Diskonttaus!$B$2)</f>
        <v>0</v>
      </c>
      <c r="W35" s="5">
        <f>W17/(1+Diskonttaus!$B$8)^(Investointikustannus!W$8-Diskonttaus!$B$2)</f>
        <v>0</v>
      </c>
      <c r="X35" s="13">
        <f t="shared" si="4"/>
        <v>0</v>
      </c>
    </row>
    <row r="36" spans="2:24" x14ac:dyDescent="0.25">
      <c r="B36" t="s">
        <v>221</v>
      </c>
      <c r="C36" s="16">
        <f>C18/(1+Diskonttaus!$B$8)^(Investointikustannus!C$8-Diskonttaus!$B$2)</f>
        <v>0</v>
      </c>
      <c r="D36" s="16">
        <f>D18/(1+Diskonttaus!$B$8)^(Investointikustannus!D$8-Diskonttaus!$B$2)</f>
        <v>0</v>
      </c>
      <c r="E36" s="16">
        <f>E18/(1+Diskonttaus!$B$8)^(Investointikustannus!E$8-Diskonttaus!$B$2)</f>
        <v>0</v>
      </c>
      <c r="F36" s="16">
        <f>F18/(1+Diskonttaus!$B$8)^(Investointikustannus!F$8-Diskonttaus!$B$2)</f>
        <v>0</v>
      </c>
      <c r="G36" s="16">
        <f>G18/(1+Diskonttaus!$B$8)^(Investointikustannus!G$8-Diskonttaus!$B$2)</f>
        <v>0</v>
      </c>
      <c r="H36" s="16">
        <f>H18/(1+Diskonttaus!$B$8)^(Investointikustannus!H$8-Diskonttaus!$B$2)</f>
        <v>0</v>
      </c>
      <c r="I36" s="16">
        <f>I18/(1+Diskonttaus!$B$8)^(Investointikustannus!I$8-Diskonttaus!$B$2)</f>
        <v>0</v>
      </c>
      <c r="J36" s="16">
        <f>J18/(1+Diskonttaus!$B$8)^(Investointikustannus!J$8-Diskonttaus!$B$2)</f>
        <v>0</v>
      </c>
      <c r="K36" s="16">
        <f>K18/(1+Diskonttaus!$B$8)^(Investointikustannus!K$8-Diskonttaus!$B$2)</f>
        <v>0</v>
      </c>
      <c r="L36" s="5">
        <f>L18/(1+Diskonttaus!$B$8)^(Investointikustannus!L$8-Diskonttaus!$B$2)</f>
        <v>0</v>
      </c>
      <c r="N36" s="16">
        <f>N18/(1+Diskonttaus!$B$8)^(Investointikustannus!N$8-Diskonttaus!$B$2)</f>
        <v>0</v>
      </c>
      <c r="O36" s="16">
        <f>O18/(1+Diskonttaus!$B$8)^(Investointikustannus!O$8-Diskonttaus!$B$2)</f>
        <v>0</v>
      </c>
      <c r="P36" s="16">
        <f>P18/(1+Diskonttaus!$B$8)^(Investointikustannus!P$8-Diskonttaus!$B$2)</f>
        <v>0</v>
      </c>
      <c r="Q36" s="16">
        <f>Q18/(1+Diskonttaus!$B$8)^(Investointikustannus!Q$8-Diskonttaus!$B$2)</f>
        <v>0</v>
      </c>
      <c r="R36" s="16">
        <f>R18/(1+Diskonttaus!$B$8)^(Investointikustannus!R$8-Diskonttaus!$B$2)</f>
        <v>0</v>
      </c>
      <c r="S36" s="16">
        <f>S18/(1+Diskonttaus!$B$8)^(Investointikustannus!S$8-Diskonttaus!$B$2)</f>
        <v>0</v>
      </c>
      <c r="T36" s="16">
        <f>T18/(1+Diskonttaus!$B$8)^(Investointikustannus!T$8-Diskonttaus!$B$2)</f>
        <v>0</v>
      </c>
      <c r="U36" s="16">
        <f>U18/(1+Diskonttaus!$B$8)^(Investointikustannus!U$8-Diskonttaus!$B$2)</f>
        <v>0</v>
      </c>
      <c r="V36" s="16">
        <f>V18/(1+Diskonttaus!$B$8)^(Investointikustannus!V$8-Diskonttaus!$B$2)</f>
        <v>0</v>
      </c>
      <c r="W36" s="5">
        <f>W18/(1+Diskonttaus!$B$8)^(Investointikustannus!W$8-Diskonttaus!$B$2)</f>
        <v>0</v>
      </c>
      <c r="X36" s="13">
        <f t="shared" si="4"/>
        <v>0</v>
      </c>
    </row>
    <row r="37" spans="2:24" x14ac:dyDescent="0.25">
      <c r="B37" t="s">
        <v>222</v>
      </c>
      <c r="C37" s="16">
        <f>C19/(1+Diskonttaus!$B$8)^(Investointikustannus!C$8-Diskonttaus!$B$2)</f>
        <v>0</v>
      </c>
      <c r="D37" s="16">
        <f>D19/(1+Diskonttaus!$B$8)^(Investointikustannus!D$8-Diskonttaus!$B$2)</f>
        <v>0</v>
      </c>
      <c r="E37" s="16">
        <f>E19/(1+Diskonttaus!$B$8)^(Investointikustannus!E$8-Diskonttaus!$B$2)</f>
        <v>0</v>
      </c>
      <c r="F37" s="16">
        <f>F19/(1+Diskonttaus!$B$8)^(Investointikustannus!F$8-Diskonttaus!$B$2)</f>
        <v>0</v>
      </c>
      <c r="G37" s="16">
        <f>G19/(1+Diskonttaus!$B$8)^(Investointikustannus!G$8-Diskonttaus!$B$2)</f>
        <v>0</v>
      </c>
      <c r="H37" s="16">
        <f>H19/(1+Diskonttaus!$B$8)^(Investointikustannus!H$8-Diskonttaus!$B$2)</f>
        <v>0</v>
      </c>
      <c r="I37" s="16">
        <f>I19/(1+Diskonttaus!$B$8)^(Investointikustannus!I$8-Diskonttaus!$B$2)</f>
        <v>0</v>
      </c>
      <c r="J37" s="16">
        <f>J19/(1+Diskonttaus!$B$8)^(Investointikustannus!J$8-Diskonttaus!$B$2)</f>
        <v>0</v>
      </c>
      <c r="K37" s="16">
        <f>K19/(1+Diskonttaus!$B$8)^(Investointikustannus!K$8-Diskonttaus!$B$2)</f>
        <v>0</v>
      </c>
      <c r="L37" s="5">
        <f>L19/(1+Diskonttaus!$B$8)^(Investointikustannus!L$8-Diskonttaus!$B$2)</f>
        <v>0</v>
      </c>
      <c r="N37" s="16">
        <f>N19/(1+Diskonttaus!$B$8)^(Investointikustannus!N$8-Diskonttaus!$B$2)</f>
        <v>0</v>
      </c>
      <c r="O37" s="16">
        <f>O19/(1+Diskonttaus!$B$8)^(Investointikustannus!O$8-Diskonttaus!$B$2)</f>
        <v>0</v>
      </c>
      <c r="P37" s="16">
        <f>P19/(1+Diskonttaus!$B$8)^(Investointikustannus!P$8-Diskonttaus!$B$2)</f>
        <v>0</v>
      </c>
      <c r="Q37" s="16">
        <f>Q19/(1+Diskonttaus!$B$8)^(Investointikustannus!Q$8-Diskonttaus!$B$2)</f>
        <v>0</v>
      </c>
      <c r="R37" s="16">
        <f>R19/(1+Diskonttaus!$B$8)^(Investointikustannus!R$8-Diskonttaus!$B$2)</f>
        <v>0</v>
      </c>
      <c r="S37" s="16">
        <f>S19/(1+Diskonttaus!$B$8)^(Investointikustannus!S$8-Diskonttaus!$B$2)</f>
        <v>0</v>
      </c>
      <c r="T37" s="16">
        <f>T19/(1+Diskonttaus!$B$8)^(Investointikustannus!T$8-Diskonttaus!$B$2)</f>
        <v>0</v>
      </c>
      <c r="U37" s="16">
        <f>U19/(1+Diskonttaus!$B$8)^(Investointikustannus!U$8-Diskonttaus!$B$2)</f>
        <v>0</v>
      </c>
      <c r="V37" s="16">
        <f>V19/(1+Diskonttaus!$B$8)^(Investointikustannus!V$8-Diskonttaus!$B$2)</f>
        <v>0</v>
      </c>
      <c r="W37" s="5">
        <f>W19/(1+Diskonttaus!$B$8)^(Investointikustannus!W$8-Diskonttaus!$B$2)</f>
        <v>0</v>
      </c>
      <c r="X37" s="13">
        <f t="shared" si="4"/>
        <v>0</v>
      </c>
    </row>
    <row r="38" spans="2:24" x14ac:dyDescent="0.25">
      <c r="B38" t="s">
        <v>223</v>
      </c>
      <c r="C38" s="16">
        <f>C20/(1+Diskonttaus!$B$8)^(Investointikustannus!C$8-Diskonttaus!$B$2)</f>
        <v>0</v>
      </c>
      <c r="D38" s="16">
        <f>D20/(1+Diskonttaus!$B$8)^(Investointikustannus!D$8-Diskonttaus!$B$2)</f>
        <v>0</v>
      </c>
      <c r="E38" s="16">
        <f>E20/(1+Diskonttaus!$B$8)^(Investointikustannus!E$8-Diskonttaus!$B$2)</f>
        <v>0</v>
      </c>
      <c r="F38" s="16">
        <f>F20/(1+Diskonttaus!$B$8)^(Investointikustannus!F$8-Diskonttaus!$B$2)</f>
        <v>0</v>
      </c>
      <c r="G38" s="16">
        <f>G20/(1+Diskonttaus!$B$8)^(Investointikustannus!G$8-Diskonttaus!$B$2)</f>
        <v>0</v>
      </c>
      <c r="H38" s="16">
        <f>H20/(1+Diskonttaus!$B$8)^(Investointikustannus!H$8-Diskonttaus!$B$2)</f>
        <v>0</v>
      </c>
      <c r="I38" s="16">
        <f>I20/(1+Diskonttaus!$B$8)^(Investointikustannus!I$8-Diskonttaus!$B$2)</f>
        <v>0</v>
      </c>
      <c r="J38" s="16">
        <f>J20/(1+Diskonttaus!$B$8)^(Investointikustannus!J$8-Diskonttaus!$B$2)</f>
        <v>0</v>
      </c>
      <c r="K38" s="16">
        <f>K20/(1+Diskonttaus!$B$8)^(Investointikustannus!K$8-Diskonttaus!$B$2)</f>
        <v>0</v>
      </c>
      <c r="L38" s="5">
        <f>L20/(1+Diskonttaus!$B$8)^(Investointikustannus!L$8-Diskonttaus!$B$2)</f>
        <v>0</v>
      </c>
      <c r="N38" s="16">
        <f>N20/(1+Diskonttaus!$B$8)^(Investointikustannus!N$8-Diskonttaus!$B$2)</f>
        <v>0</v>
      </c>
      <c r="O38" s="16">
        <f>O20/(1+Diskonttaus!$B$8)^(Investointikustannus!O$8-Diskonttaus!$B$2)</f>
        <v>0</v>
      </c>
      <c r="P38" s="16">
        <f>P20/(1+Diskonttaus!$B$8)^(Investointikustannus!P$8-Diskonttaus!$B$2)</f>
        <v>0</v>
      </c>
      <c r="Q38" s="16">
        <f>Q20/(1+Diskonttaus!$B$8)^(Investointikustannus!Q$8-Diskonttaus!$B$2)</f>
        <v>0</v>
      </c>
      <c r="R38" s="16">
        <f>R20/(1+Diskonttaus!$B$8)^(Investointikustannus!R$8-Diskonttaus!$B$2)</f>
        <v>0</v>
      </c>
      <c r="S38" s="16">
        <f>S20/(1+Diskonttaus!$B$8)^(Investointikustannus!S$8-Diskonttaus!$B$2)</f>
        <v>0</v>
      </c>
      <c r="T38" s="16">
        <f>T20/(1+Diskonttaus!$B$8)^(Investointikustannus!T$8-Diskonttaus!$B$2)</f>
        <v>0</v>
      </c>
      <c r="U38" s="16">
        <f>U20/(1+Diskonttaus!$B$8)^(Investointikustannus!U$8-Diskonttaus!$B$2)</f>
        <v>0</v>
      </c>
      <c r="V38" s="16">
        <f>V20/(1+Diskonttaus!$B$8)^(Investointikustannus!V$8-Diskonttaus!$B$2)</f>
        <v>0</v>
      </c>
      <c r="W38" s="5">
        <f>W20/(1+Diskonttaus!$B$8)^(Investointikustannus!W$8-Diskonttaus!$B$2)</f>
        <v>0</v>
      </c>
      <c r="X38" s="13">
        <f t="shared" si="4"/>
        <v>0</v>
      </c>
    </row>
    <row r="39" spans="2:24" x14ac:dyDescent="0.25">
      <c r="B39" t="s">
        <v>224</v>
      </c>
      <c r="C39" s="16">
        <f>C21/(1+Diskonttaus!$B$8)^(Investointikustannus!C$8-Diskonttaus!$B$2)</f>
        <v>0</v>
      </c>
      <c r="D39" s="16">
        <f>D21/(1+Diskonttaus!$B$8)^(Investointikustannus!D$8-Diskonttaus!$B$2)</f>
        <v>0</v>
      </c>
      <c r="E39" s="16">
        <f>E21/(1+Diskonttaus!$B$8)^(Investointikustannus!E$8-Diskonttaus!$B$2)</f>
        <v>0</v>
      </c>
      <c r="F39" s="16">
        <f>F21/(1+Diskonttaus!$B$8)^(Investointikustannus!F$8-Diskonttaus!$B$2)</f>
        <v>0</v>
      </c>
      <c r="G39" s="16">
        <f>G21/(1+Diskonttaus!$B$8)^(Investointikustannus!G$8-Diskonttaus!$B$2)</f>
        <v>0</v>
      </c>
      <c r="H39" s="16">
        <f>H21/(1+Diskonttaus!$B$8)^(Investointikustannus!H$8-Diskonttaus!$B$2)</f>
        <v>0</v>
      </c>
      <c r="I39" s="16">
        <f>I21/(1+Diskonttaus!$B$8)^(Investointikustannus!I$8-Diskonttaus!$B$2)</f>
        <v>0</v>
      </c>
      <c r="J39" s="16">
        <f>J21/(1+Diskonttaus!$B$8)^(Investointikustannus!J$8-Diskonttaus!$B$2)</f>
        <v>0</v>
      </c>
      <c r="K39" s="16">
        <f>K21/(1+Diskonttaus!$B$8)^(Investointikustannus!K$8-Diskonttaus!$B$2)</f>
        <v>0</v>
      </c>
      <c r="L39" s="5">
        <f>L21/(1+Diskonttaus!$B$8)^(Investointikustannus!L$8-Diskonttaus!$B$2)</f>
        <v>0</v>
      </c>
      <c r="N39" s="16">
        <f>N21/(1+Diskonttaus!$B$8)^(Investointikustannus!N$8-Diskonttaus!$B$2)</f>
        <v>0</v>
      </c>
      <c r="O39" s="16">
        <f>O21/(1+Diskonttaus!$B$8)^(Investointikustannus!O$8-Diskonttaus!$B$2)</f>
        <v>0</v>
      </c>
      <c r="P39" s="16">
        <f>P21/(1+Diskonttaus!$B$8)^(Investointikustannus!P$8-Diskonttaus!$B$2)</f>
        <v>0</v>
      </c>
      <c r="Q39" s="16">
        <f>Q21/(1+Diskonttaus!$B$8)^(Investointikustannus!Q$8-Diskonttaus!$B$2)</f>
        <v>0</v>
      </c>
      <c r="R39" s="16">
        <f>R21/(1+Diskonttaus!$B$8)^(Investointikustannus!R$8-Diskonttaus!$B$2)</f>
        <v>0</v>
      </c>
      <c r="S39" s="16">
        <f>S21/(1+Diskonttaus!$B$8)^(Investointikustannus!S$8-Diskonttaus!$B$2)</f>
        <v>0</v>
      </c>
      <c r="T39" s="16">
        <f>T21/(1+Diskonttaus!$B$8)^(Investointikustannus!T$8-Diskonttaus!$B$2)</f>
        <v>0</v>
      </c>
      <c r="U39" s="16">
        <f>U21/(1+Diskonttaus!$B$8)^(Investointikustannus!U$8-Diskonttaus!$B$2)</f>
        <v>0</v>
      </c>
      <c r="V39" s="16">
        <f>V21/(1+Diskonttaus!$B$8)^(Investointikustannus!V$8-Diskonttaus!$B$2)</f>
        <v>0</v>
      </c>
      <c r="W39" s="5">
        <f>W21/(1+Diskonttaus!$B$8)^(Investointikustannus!W$8-Diskonttaus!$B$2)</f>
        <v>0</v>
      </c>
      <c r="X39" s="13">
        <f t="shared" si="4"/>
        <v>0</v>
      </c>
    </row>
    <row r="40" spans="2:24" x14ac:dyDescent="0.25">
      <c r="B40" t="s">
        <v>225</v>
      </c>
      <c r="C40" s="93">
        <f>C22/(1+Diskonttaus!$B$8)^(Investointikustannus!C$8-Diskonttaus!$B$2)</f>
        <v>0</v>
      </c>
      <c r="D40" s="93">
        <f>D22/(1+Diskonttaus!$B$8)^(Investointikustannus!D$8-Diskonttaus!$B$2)</f>
        <v>0</v>
      </c>
      <c r="E40" s="93">
        <f>E22/(1+Diskonttaus!$B$8)^(Investointikustannus!E$8-Diskonttaus!$B$2)</f>
        <v>0</v>
      </c>
      <c r="F40" s="93">
        <f>F22/(1+Diskonttaus!$B$8)^(Investointikustannus!F$8-Diskonttaus!$B$2)</f>
        <v>0</v>
      </c>
      <c r="G40" s="93">
        <f>G22/(1+Diskonttaus!$B$8)^(Investointikustannus!G$8-Diskonttaus!$B$2)</f>
        <v>0</v>
      </c>
      <c r="H40" s="93">
        <f>H22/(1+Diskonttaus!$B$8)^(Investointikustannus!H$8-Diskonttaus!$B$2)</f>
        <v>0</v>
      </c>
      <c r="I40" s="93">
        <f>I22/(1+Diskonttaus!$B$8)^(Investointikustannus!I$8-Diskonttaus!$B$2)</f>
        <v>0</v>
      </c>
      <c r="J40" s="93">
        <f>J22/(1+Diskonttaus!$B$8)^(Investointikustannus!J$8-Diskonttaus!$B$2)</f>
        <v>0</v>
      </c>
      <c r="K40" s="93">
        <f>K22/(1+Diskonttaus!$B$8)^(Investointikustannus!K$8-Diskonttaus!$B$2)</f>
        <v>0</v>
      </c>
      <c r="L40" s="58">
        <f>L22/(1+Diskonttaus!$B$8)^(Investointikustannus!L$8-Diskonttaus!$B$2)</f>
        <v>0</v>
      </c>
      <c r="N40" s="93">
        <f>N22/(1+Diskonttaus!$B$8)^(Investointikustannus!N$8-Diskonttaus!$B$2)</f>
        <v>0</v>
      </c>
      <c r="O40" s="93">
        <f>O22/(1+Diskonttaus!$B$8)^(Investointikustannus!O$8-Diskonttaus!$B$2)</f>
        <v>0</v>
      </c>
      <c r="P40" s="93">
        <f>P22/(1+Diskonttaus!$B$8)^(Investointikustannus!P$8-Diskonttaus!$B$2)</f>
        <v>0</v>
      </c>
      <c r="Q40" s="93">
        <f>Q22/(1+Diskonttaus!$B$8)^(Investointikustannus!Q$8-Diskonttaus!$B$2)</f>
        <v>0</v>
      </c>
      <c r="R40" s="93">
        <f>R22/(1+Diskonttaus!$B$8)^(Investointikustannus!R$8-Diskonttaus!$B$2)</f>
        <v>0</v>
      </c>
      <c r="S40" s="93">
        <f>S22/(1+Diskonttaus!$B$8)^(Investointikustannus!S$8-Diskonttaus!$B$2)</f>
        <v>0</v>
      </c>
      <c r="T40" s="93">
        <f>T22/(1+Diskonttaus!$B$8)^(Investointikustannus!T$8-Diskonttaus!$B$2)</f>
        <v>0</v>
      </c>
      <c r="U40" s="93">
        <f>U22/(1+Diskonttaus!$B$8)^(Investointikustannus!U$8-Diskonttaus!$B$2)</f>
        <v>0</v>
      </c>
      <c r="V40" s="93">
        <f>V22/(1+Diskonttaus!$B$8)^(Investointikustannus!V$8-Diskonttaus!$B$2)</f>
        <v>0</v>
      </c>
      <c r="W40" s="58">
        <f>W22/(1+Diskonttaus!$B$8)^(Investointikustannus!W$8-Diskonttaus!$B$2)</f>
        <v>0</v>
      </c>
      <c r="X40" s="13">
        <f t="shared" si="4"/>
        <v>0</v>
      </c>
    </row>
    <row r="41" spans="2:24" x14ac:dyDescent="0.25">
      <c r="B41" t="s">
        <v>54</v>
      </c>
      <c r="C41" s="13">
        <f t="shared" ref="C41:L41" si="5">SUM(C27:C40)</f>
        <v>0</v>
      </c>
      <c r="D41" s="13">
        <f t="shared" si="5"/>
        <v>0</v>
      </c>
      <c r="E41" s="13">
        <f t="shared" si="5"/>
        <v>0</v>
      </c>
      <c r="F41" s="13">
        <f t="shared" si="5"/>
        <v>0</v>
      </c>
      <c r="G41" s="13">
        <f t="shared" si="5"/>
        <v>0</v>
      </c>
      <c r="H41" s="13">
        <f t="shared" si="5"/>
        <v>0</v>
      </c>
      <c r="I41" s="13">
        <f t="shared" si="5"/>
        <v>0</v>
      </c>
      <c r="J41" s="13">
        <f t="shared" si="5"/>
        <v>0</v>
      </c>
      <c r="K41" s="13">
        <f t="shared" si="5"/>
        <v>0</v>
      </c>
      <c r="L41" s="13">
        <f t="shared" si="5"/>
        <v>0</v>
      </c>
      <c r="N41" s="13">
        <f t="shared" ref="N41:W41" si="6">SUM(N27:N40)</f>
        <v>0</v>
      </c>
      <c r="O41" s="13">
        <f t="shared" si="6"/>
        <v>0</v>
      </c>
      <c r="P41" s="13">
        <f t="shared" si="6"/>
        <v>0</v>
      </c>
      <c r="Q41" s="13">
        <f t="shared" si="6"/>
        <v>0</v>
      </c>
      <c r="R41" s="13">
        <f t="shared" si="6"/>
        <v>0</v>
      </c>
      <c r="S41" s="13">
        <f t="shared" si="6"/>
        <v>0</v>
      </c>
      <c r="T41" s="13">
        <f t="shared" si="6"/>
        <v>0</v>
      </c>
      <c r="U41" s="13">
        <f t="shared" si="6"/>
        <v>0</v>
      </c>
      <c r="V41" s="13">
        <f t="shared" si="6"/>
        <v>0</v>
      </c>
      <c r="W41" s="13">
        <f t="shared" si="6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inTila xmlns="37b6a217-4fe1-4884-a4eb-572c5a1969c7" xsi:nil="true"/>
    <c7e7d47415304583b97cbceafb48fc9c xmlns="37b6a217-4fe1-4884-a4eb-572c5a1969c7">
      <Terms xmlns="http://schemas.microsoft.com/office/infopath/2007/PartnerControls">
        <TermInfo xmlns="http://schemas.microsoft.com/office/infopath/2007/PartnerControls">
          <TermName xmlns="http://schemas.microsoft.com/office/infopath/2007/PartnerControls">Taulukko</TermName>
          <TermId xmlns="http://schemas.microsoft.com/office/infopath/2007/PartnerControls">71909737-5f26-44ee-a6fd-ea06d44b9a81</TermId>
        </TermInfo>
      </Terms>
    </c7e7d47415304583b97cbceafb48fc9c>
    <TyoryhmanNimi xmlns="37b6a217-4fe1-4884-a4eb-572c5a1969c7">MAL 2019 - Kustannushyötyanalyysi</TyoryhmanNimi>
    <gbd2c824d606482d8ac0e417e142bc2f xmlns="37b6a217-4fe1-4884-a4eb-572c5a1969c7">
      <Terms xmlns="http://schemas.microsoft.com/office/infopath/2007/PartnerControls"/>
    </gbd2c824d606482d8ac0e417e142bc2f>
    <lf2a24d45b2949218b95d66f1d0b33a8 xmlns="37b6a217-4fe1-4884-a4eb-572c5a1969c7">
      <Terms xmlns="http://schemas.microsoft.com/office/infopath/2007/PartnerControls"/>
    </lf2a24d45b2949218b95d66f1d0b33a8>
    <TaxCatchAll xmlns="8dde8a50-f86d-46ca-ae54-a219d58ab0f1">
      <Value>2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yöryhmän dokumentti" ma:contentTypeID="0x0101005AF0DAC6D8B8D046AA97775D0EA0A52C00597B3796DB9FF548BDFCB0DE8988F274" ma:contentTypeVersion="18" ma:contentTypeDescription="" ma:contentTypeScope="" ma:versionID="52111fa3d5fab8e48da38903eaacec4d">
  <xsd:schema xmlns:xsd="http://www.w3.org/2001/XMLSchema" xmlns:xs="http://www.w3.org/2001/XMLSchema" xmlns:p="http://schemas.microsoft.com/office/2006/metadata/properties" xmlns:ns2="37b6a217-4fe1-4884-a4eb-572c5a1969c7" xmlns:ns3="8dde8a50-f86d-46ca-ae54-a219d58ab0f1" xmlns:ns4="4468c9de-2a81-4c06-bf49-e269715ababb" targetNamespace="http://schemas.microsoft.com/office/2006/metadata/properties" ma:root="true" ma:fieldsID="eb907d030b2bbafc68088718dbf26d11" ns2:_="" ns3:_="" ns4:_="">
    <xsd:import namespace="37b6a217-4fe1-4884-a4eb-572c5a1969c7"/>
    <xsd:import namespace="8dde8a50-f86d-46ca-ae54-a219d58ab0f1"/>
    <xsd:import namespace="4468c9de-2a81-4c06-bf49-e269715ababb"/>
    <xsd:element name="properties">
      <xsd:complexType>
        <xsd:sequence>
          <xsd:element name="documentManagement">
            <xsd:complexType>
              <xsd:all>
                <xsd:element ref="ns2:gbd2c824d606482d8ac0e417e142bc2f" minOccurs="0"/>
                <xsd:element ref="ns2:DokumentinTila" minOccurs="0"/>
                <xsd:element ref="ns2:c7e7d47415304583b97cbceafb48fc9c" minOccurs="0"/>
                <xsd:element ref="ns2:TyoryhmanNimi" minOccurs="0"/>
                <xsd:element ref="ns2:lf2a24d45b2949218b95d66f1d0b33a8" minOccurs="0"/>
                <xsd:element ref="ns3:TaxCatchAllLabel" minOccurs="0"/>
                <xsd:element ref="ns3:TaxCatchAll" minOccurs="0"/>
                <xsd:element ref="ns4:MediaServiceMetadata" minOccurs="0"/>
                <xsd:element ref="ns4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a217-4fe1-4884-a4eb-572c5a1969c7" elementFormDefault="qualified">
    <xsd:import namespace="http://schemas.microsoft.com/office/2006/documentManagement/types"/>
    <xsd:import namespace="http://schemas.microsoft.com/office/infopath/2007/PartnerControls"/>
    <xsd:element name="gbd2c824d606482d8ac0e417e142bc2f" ma:index="8" nillable="true" ma:taxonomy="true" ma:internalName="gbd2c824d606482d8ac0e417e142bc2f" ma:taxonomyFieldName="DokumentinAihe" ma:displayName="Dokumentin aihe" ma:default="" ma:fieldId="{0bd2c824-d606-482d-8ac0-e417e142bc2f}" ma:sspId="e019490b-d79b-4bd5-b86c-72cf856dbbd8" ma:termSetId="03707004-6c35-41b9-8d23-74d306b1d0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kumentinTila" ma:index="10" nillable="true" ma:displayName="Dokumentin tila" ma:default="Valmis" ma:format="Dropdown" ma:internalName="DokumentinTila">
      <xsd:simpleType>
        <xsd:restriction base="dms:Choice">
          <xsd:enumeration value="Valmis"/>
          <xsd:enumeration value="Luonnos"/>
        </xsd:restriction>
      </xsd:simpleType>
    </xsd:element>
    <xsd:element name="c7e7d47415304583b97cbceafb48fc9c" ma:index="11" nillable="true" ma:taxonomy="true" ma:internalName="c7e7d47415304583b97cbceafb48fc9c" ma:taxonomyFieldName="DokumentinTyyppi" ma:displayName="Dokumentin tyyppi" ma:default="" ma:fieldId="{c7e7d474-1530-4583-b97c-bceafb48fc9c}" ma:sspId="e019490b-d79b-4bd5-b86c-72cf856dbbd8" ma:termSetId="a0586bc7-64dc-478d-aa1a-d83d8ae7ebf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yoryhmanNimi" ma:index="13" nillable="true" ma:displayName="Työryhmän nimi" ma:internalName="TyoryhmanNimi">
      <xsd:simpleType>
        <xsd:restriction base="dms:Text">
          <xsd:maxLength value="255"/>
        </xsd:restriction>
      </xsd:simpleType>
    </xsd:element>
    <xsd:element name="lf2a24d45b2949218b95d66f1d0b33a8" ma:index="14" nillable="true" ma:taxonomy="true" ma:internalName="lf2a24d45b2949218b95d66f1d0b33a8" ma:taxonomyFieldName="WG_Osasto" ma:displayName="Osasto" ma:default="" ma:fieldId="{5f2a24d4-5b29-4921-8b95-d66f1d0b33a8}" ma:sspId="e019490b-d79b-4bd5-b86c-72cf856dbbd8" ma:termSetId="63a31e65-ec38-4db8-aaa3-57d4ee48ade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e8a50-f86d-46ca-ae54-a219d58ab0f1" elementFormDefault="qualified">
    <xsd:import namespace="http://schemas.microsoft.com/office/2006/documentManagement/types"/>
    <xsd:import namespace="http://schemas.microsoft.com/office/infopath/2007/PartnerControls"/>
    <xsd:element name="TaxCatchAllLabel" ma:index="16" nillable="true" ma:displayName="Taxonomy Catch All Column1" ma:hidden="true" ma:list="{8bf0616d-b1db-40d9-abe5-40d8947ede9c}" ma:internalName="TaxCatchAllLabel" ma:readOnly="true" ma:showField="CatchAllDataLabel" ma:web="8dde8a50-f86d-46ca-ae54-a219d58ab0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17" nillable="true" ma:displayName="Taxonomy Catch All Column" ma:hidden="true" ma:list="{8bf0616d-b1db-40d9-abe5-40d8947ede9c}" ma:internalName="TaxCatchAll" ma:showField="CatchAllData" ma:web="8dde8a50-f86d-46ca-ae54-a219d58ab0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8c9de-2a81-4c06-bf49-e269715ab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D55EAC-37BA-4509-9765-6FB27F6E2583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37b6a217-4fe1-4884-a4eb-572c5a1969c7"/>
    <ds:schemaRef ds:uri="http://schemas.microsoft.com/office/infopath/2007/PartnerControls"/>
    <ds:schemaRef ds:uri="http://schemas.openxmlformats.org/package/2006/metadata/core-properties"/>
    <ds:schemaRef ds:uri="4468c9de-2a81-4c06-bf49-e269715ababb"/>
    <ds:schemaRef ds:uri="8dde8a50-f86d-46ca-ae54-a219d58ab0f1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F2FF8B0-9374-422E-84FD-E99C507D08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a217-4fe1-4884-a4eb-572c5a1969c7"/>
    <ds:schemaRef ds:uri="8dde8a50-f86d-46ca-ae54-a219d58ab0f1"/>
    <ds:schemaRef ds:uri="4468c9de-2a81-4c06-bf49-e269715ab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B210B1-4CBB-440B-90E0-17B0C21190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17</vt:i4>
      </vt:variant>
    </vt:vector>
  </HeadingPairs>
  <TitlesOfParts>
    <vt:vector size="17" baseType="lpstr">
      <vt:lpstr>Yhteenveto</vt:lpstr>
      <vt:lpstr>Diskonttaus</vt:lpstr>
      <vt:lpstr>Liukuvat yksikkoarvot</vt:lpstr>
      <vt:lpstr>Kayttajahyodyt</vt:lpstr>
      <vt:lpstr>ha_tyo</vt:lpstr>
      <vt:lpstr>ha_muu</vt:lpstr>
      <vt:lpstr>jl_tyo</vt:lpstr>
      <vt:lpstr>jl_muu</vt:lpstr>
      <vt:lpstr>pp_tyo</vt:lpstr>
      <vt:lpstr>pp_muu</vt:lpstr>
      <vt:lpstr>ka</vt:lpstr>
      <vt:lpstr>yhd</vt:lpstr>
      <vt:lpstr>pa</vt:lpstr>
      <vt:lpstr>Tuottajahyodyt</vt:lpstr>
      <vt:lpstr>Ulkoisvaikutukset</vt:lpstr>
      <vt:lpstr>Julkistaloudelliset</vt:lpstr>
      <vt:lpstr>Investointikustannus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MAL-työn H/K-laskenta</dc:title>
  <dc:subject/>
  <dc:creator>West Jens</dc:creator>
  <cp:keywords/>
  <dc:description/>
  <cp:lastModifiedBy>Hiitola Santeri</cp:lastModifiedBy>
  <cp:revision/>
  <dcterms:created xsi:type="dcterms:W3CDTF">2017-05-16T09:24:51Z</dcterms:created>
  <dcterms:modified xsi:type="dcterms:W3CDTF">2026-10-14T12:41:31Z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0x0101005AF0DAC6D8B8D046AA97775D0EA0A52C00597B3796DB9FF548BDFCB0DE8988F274</vt:lpwstr>
  </property>
  <property fmtid="{D5CDD505-2E9C-101B-9397-08002B2CF9AE}" pid="3" name="HSLWorkspaceDocumentType">
    <vt:lpwstr>3;#Taulukko|71909737-5f26-44ee-a6fd-ea06d44b9a81</vt:lpwstr>
  </property>
  <property fmtid="{D5CDD505-2E9C-101B-9397-08002B2CF9AE}" pid="4" name="HSLCategories">
    <vt:lpwstr/>
  </property>
  <property fmtid="{D5CDD505-2E9C-101B-9397-08002B2CF9AE}" pid="5" name="HSLWorkspaceDocumentKeywords">
    <vt:lpwstr/>
  </property>
  <property fmtid="{D5CDD505-2E9C-101B-9397-08002B2CF9AE}" pid="6" name="DokumentinTyyppi">
    <vt:lpwstr>2;#Taulukko|71909737-5f26-44ee-a6fd-ea06d44b9a81</vt:lpwstr>
  </property>
  <property fmtid="{D5CDD505-2E9C-101B-9397-08002B2CF9AE}" pid="7" name="DokumentinAihe">
    <vt:lpwstr/>
  </property>
  <property fmtid="{D5CDD505-2E9C-101B-9397-08002B2CF9AE}" pid="8" name="WG_Osasto">
    <vt:lpwstr/>
  </property>
</Properties>
</file>